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_Language Teaching\3_Practica Docente\"/>
    </mc:Choice>
  </mc:AlternateContent>
  <bookViews>
    <workbookView xWindow="0" yWindow="60" windowWidth="19440" windowHeight="7695" activeTab="1"/>
  </bookViews>
  <sheets>
    <sheet name="Hoja1" sheetId="1" r:id="rId1"/>
    <sheet name="Tabla de Especificación Inglés" sheetId="2" r:id="rId2"/>
    <sheet name="Hoja2" sheetId="4" r:id="rId3"/>
    <sheet name="Hoja1 (2)" sheetId="3" r:id="rId4"/>
  </sheets>
  <definedNames>
    <definedName name="_xlnm.Print_Area" localSheetId="0">Hoja1!$B$1:$K$10</definedName>
    <definedName name="_xlnm.Print_Area" localSheetId="3">'Hoja1 (2)'!$B$1:$G$20</definedName>
    <definedName name="_xlnm.Print_Area" localSheetId="1">'Tabla de Especificación Inglés'!$A$1:$O$44</definedName>
    <definedName name="TAGS">Hoja1!$D$1:$K$1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2" l="1"/>
  <c r="O13" i="2"/>
  <c r="O14" i="2"/>
  <c r="O15" i="2"/>
  <c r="O16" i="2"/>
  <c r="O17" i="2"/>
  <c r="O18" i="2"/>
  <c r="O19" i="2"/>
  <c r="O12" i="2"/>
  <c r="N13" i="2"/>
  <c r="N14" i="2"/>
  <c r="N15" i="2"/>
  <c r="N16" i="2"/>
  <c r="N17" i="2"/>
  <c r="N18" i="2"/>
  <c r="N19" i="2"/>
  <c r="N12" i="2"/>
  <c r="K38" i="2"/>
  <c r="M6" i="2"/>
  <c r="O38" i="2" l="1"/>
  <c r="N38" i="2"/>
</calcChain>
</file>

<file path=xl/sharedStrings.xml><?xml version="1.0" encoding="utf-8"?>
<sst xmlns="http://schemas.openxmlformats.org/spreadsheetml/2006/main" count="421" uniqueCount="228">
  <si>
    <t>Identificación</t>
  </si>
  <si>
    <t>Comprensión</t>
  </si>
  <si>
    <t>Recuerdo</t>
  </si>
  <si>
    <t>Uso</t>
  </si>
  <si>
    <t>LETRAS</t>
  </si>
  <si>
    <t>PALABRA</t>
  </si>
  <si>
    <t>ORACIÓN</t>
  </si>
  <si>
    <t>PÁRRAFO</t>
  </si>
  <si>
    <t>PÁRRAFOS</t>
  </si>
  <si>
    <t>Extensión</t>
  </si>
  <si>
    <t>Canal</t>
  </si>
  <si>
    <t>VISUAL</t>
  </si>
  <si>
    <t>AUDITIVO</t>
  </si>
  <si>
    <t>FRASE</t>
  </si>
  <si>
    <t>ORACIONES</t>
  </si>
  <si>
    <t>FONOLOGÍA</t>
  </si>
  <si>
    <t>LÉXICO</t>
  </si>
  <si>
    <t>MORFOSINTAXIS</t>
  </si>
  <si>
    <t>DISCURSO</t>
  </si>
  <si>
    <t>FORMA</t>
  </si>
  <si>
    <t>SIGNIFICADO</t>
  </si>
  <si>
    <t>Forma léxica</t>
  </si>
  <si>
    <t>Forma cohesiva</t>
  </si>
  <si>
    <t>Forma 
fonológica</t>
  </si>
  <si>
    <t>Forma 
morfosintáctica</t>
  </si>
  <si>
    <t>Significado 
fonológico</t>
  </si>
  <si>
    <t>Significado 
léxico</t>
  </si>
  <si>
    <t>Significado 
morfosintáctico</t>
  </si>
  <si>
    <t>Significado 
cohesivo</t>
  </si>
  <si>
    <t>USO PRÁCTICO</t>
  </si>
  <si>
    <t xml:space="preserve"> -Significado                                                                                                                                                                                                                                                               sociolingüístico
-Significado sociocultural
-Significado                                                                                                                                                                                                                                                        retórico
-Significado indirecto dentro del contexto</t>
  </si>
  <si>
    <t>Conocimiento del sistema de sonidos</t>
  </si>
  <si>
    <t>Comprensión
de significados globales</t>
  </si>
  <si>
    <t>Interpretación de significados globales o literales</t>
  </si>
  <si>
    <t>Comprensión de significados
literales (local)</t>
  </si>
  <si>
    <t>Conocimiento del sistema escrito</t>
  </si>
  <si>
    <t>Producción 
controlada</t>
  </si>
  <si>
    <t>Producción 
abierta</t>
  </si>
  <si>
    <t>Producción limitada</t>
  </si>
  <si>
    <t>Producción de oración</t>
  </si>
  <si>
    <t>Producción extendida</t>
  </si>
  <si>
    <t>Selección de respuesta</t>
  </si>
  <si>
    <t>Organizar/
Reorganizar</t>
  </si>
  <si>
    <t>Crear/
Inventar</t>
  </si>
  <si>
    <t>COMPRENSIÓN 
AUDITIVA</t>
  </si>
  <si>
    <t>COMPRENSIÓN 
ESCRITA</t>
  </si>
  <si>
    <t>PRODUCCIÓN 
ESCRITA</t>
  </si>
  <si>
    <t>PRODUCCIÓN
HABLADA</t>
  </si>
  <si>
    <t>Reproducción</t>
  </si>
  <si>
    <t>Organización/
Reorganización</t>
  </si>
  <si>
    <t>Creación/
Invención</t>
  </si>
  <si>
    <t>Aprendizaje esperado/
Objetivo</t>
  </si>
  <si>
    <t>Sección</t>
  </si>
  <si>
    <t>GRAMÁTICA: FORMA</t>
  </si>
  <si>
    <t>GRAMÁTICA: SIGNIFICADO</t>
  </si>
  <si>
    <t>GRAMÁTICA: USO PRÁCTICO</t>
  </si>
  <si>
    <t>Producción de 
oración</t>
  </si>
  <si>
    <t>Producción 
extendida</t>
  </si>
  <si>
    <t>Producción 
limitada</t>
  </si>
  <si>
    <t>VOCABULARY</t>
  </si>
  <si>
    <t>Comprensión de significados literales (local)</t>
  </si>
  <si>
    <t>Comprensión de significados globales</t>
  </si>
  <si>
    <t>Organización/Reorganización</t>
  </si>
  <si>
    <t>Creación/Invención</t>
  </si>
  <si>
    <t>Producción controlada</t>
  </si>
  <si>
    <t>Producción abierta</t>
  </si>
  <si>
    <t>PRODUCCIÓN HABLADA</t>
  </si>
  <si>
    <t>COMPRENSIÓN ESCRITA</t>
  </si>
  <si>
    <t>PRODUCCIÓN ESCRITA</t>
  </si>
  <si>
    <t>VOCABULARIO</t>
  </si>
  <si>
    <t>EXTENSIÓN</t>
  </si>
  <si>
    <t>CANAL</t>
  </si>
  <si>
    <t>COMPRENSIÓN AUDITIVA</t>
  </si>
  <si>
    <t>CENTRO EDUCATIVO CRUZ AZUL, A.C.</t>
  </si>
  <si>
    <t>COORDINACIÓN DE INGLÉS</t>
  </si>
  <si>
    <t>ESCUELA:</t>
  </si>
  <si>
    <t>PROFESOR(A):</t>
  </si>
  <si>
    <t>GRADO:</t>
  </si>
  <si>
    <t>GRUPO:</t>
  </si>
  <si>
    <t>FECHA:</t>
  </si>
  <si>
    <t>PERIODO:</t>
  </si>
  <si>
    <t>ESCUELA</t>
  </si>
  <si>
    <t>PROFESOR(A)</t>
  </si>
  <si>
    <t>GRADO</t>
  </si>
  <si>
    <t>GRUPO</t>
  </si>
  <si>
    <t>PERIODO</t>
  </si>
  <si>
    <t>CICLO ESCOLAR</t>
  </si>
  <si>
    <t>CICLO ESCOLAR:</t>
  </si>
  <si>
    <t>2014-2015</t>
  </si>
  <si>
    <t>2015-2016</t>
  </si>
  <si>
    <t>2016-2017</t>
  </si>
  <si>
    <t>01A</t>
  </si>
  <si>
    <t>02A</t>
  </si>
  <si>
    <t>03A</t>
  </si>
  <si>
    <t>04A</t>
  </si>
  <si>
    <t>05A</t>
  </si>
  <si>
    <t>1°</t>
  </si>
  <si>
    <t>3°</t>
  </si>
  <si>
    <t>4°</t>
  </si>
  <si>
    <t>5°</t>
  </si>
  <si>
    <t>2°</t>
  </si>
  <si>
    <t>6°</t>
  </si>
  <si>
    <t>MONTOYA ORTIZ AZALIA</t>
  </si>
  <si>
    <t>SORIA JASSO IRASELA</t>
  </si>
  <si>
    <t>MADRID MARTINEZ LORENZO</t>
  </si>
  <si>
    <t>AVENDAÑO CORONA FABIAN</t>
  </si>
  <si>
    <t>MORALES ALFARO SANTOS</t>
  </si>
  <si>
    <t>SIERRA MORENO QUETZALCOATL</t>
  </si>
  <si>
    <t>PRIMARIA "CRUZ AZUL"</t>
  </si>
  <si>
    <t>SECUNDARIA "10 DE DICIEMBRE"</t>
  </si>
  <si>
    <t>BACHILLERATO "CRUZ AZUL"</t>
  </si>
  <si>
    <t>A</t>
  </si>
  <si>
    <t>B</t>
  </si>
  <si>
    <t>C</t>
  </si>
  <si>
    <t>D</t>
  </si>
  <si>
    <t>E</t>
  </si>
  <si>
    <t>01B</t>
  </si>
  <si>
    <t>02B</t>
  </si>
  <si>
    <t>04B</t>
  </si>
  <si>
    <t>05B</t>
  </si>
  <si>
    <t>JARDIN DE NIÑOS "CRUZ AZUL"</t>
  </si>
  <si>
    <t>TABLA DE ESPECIFICACIÓN PARA INSTRUMENTOS DE EVALUACIÓN DE LENGUAS</t>
  </si>
  <si>
    <t>Habilidad o Sistema Evaluado</t>
  </si>
  <si>
    <t xml:space="preserve">Tema/
Subtema
</t>
  </si>
  <si>
    <t>Input Length</t>
  </si>
  <si>
    <t>Students' Response Length</t>
  </si>
  <si>
    <t>Code Demand</t>
  </si>
  <si>
    <t>Techniques for testing reading</t>
  </si>
  <si>
    <t>Selective deletion gap filling</t>
  </si>
  <si>
    <t>Short answer questions</t>
  </si>
  <si>
    <t>Conventional Multiple Choice</t>
  </si>
  <si>
    <t>Matching</t>
  </si>
  <si>
    <t>True-False</t>
  </si>
  <si>
    <t>Multiple True-False</t>
  </si>
  <si>
    <t>Comprehension Item Set</t>
  </si>
  <si>
    <t>Pictorial Item-Set</t>
  </si>
  <si>
    <t>Problem-Solving Item Set</t>
  </si>
  <si>
    <t>Integrated reading-writing task</t>
  </si>
  <si>
    <t>Research Papers</t>
  </si>
  <si>
    <t>Review</t>
  </si>
  <si>
    <t>Explaining tasks</t>
  </si>
  <si>
    <t>Opinion tasks</t>
  </si>
  <si>
    <t>Mini-situations on tape</t>
  </si>
  <si>
    <t>Description tasks</t>
  </si>
  <si>
    <t>Narrative tasks</t>
  </si>
  <si>
    <t xml:space="preserve">Information gap exercise </t>
  </si>
  <si>
    <t>Instruction tasks</t>
  </si>
  <si>
    <t>Free interview/conversation</t>
  </si>
  <si>
    <t>Comparing/Constrasting tasks</t>
  </si>
  <si>
    <t>Discussion tasks</t>
  </si>
  <si>
    <t>Controlled 'interview'</t>
  </si>
  <si>
    <t>Monologic tasks</t>
  </si>
  <si>
    <t>Predicting tasks</t>
  </si>
  <si>
    <t>Exhibition</t>
  </si>
  <si>
    <t>Decision tasks</t>
  </si>
  <si>
    <t>Role-plays and simulations</t>
  </si>
  <si>
    <t>Reacting in situation tasks</t>
  </si>
  <si>
    <t>Tape-based tasks</t>
  </si>
  <si>
    <t>Interactive Videodisc</t>
  </si>
  <si>
    <t>Oral Report</t>
  </si>
  <si>
    <t>Portfolio</t>
  </si>
  <si>
    <t>Project</t>
  </si>
  <si>
    <t>Self/Peer Assessment</t>
  </si>
  <si>
    <t>Short Answer (Completion)</t>
  </si>
  <si>
    <t>Techniques for testing speaking</t>
  </si>
  <si>
    <t>Techniques for testing  listening</t>
  </si>
  <si>
    <t>Matching responses</t>
  </si>
  <si>
    <t>Dictation</t>
  </si>
  <si>
    <t>Information transfer tasks</t>
  </si>
  <si>
    <t xml:space="preserve">Body movement tasks </t>
  </si>
  <si>
    <t xml:space="preserve">Retention tasks </t>
  </si>
  <si>
    <t>Picture tasks</t>
  </si>
  <si>
    <t>Conversation tasks</t>
  </si>
  <si>
    <t>Open-ended essay</t>
  </si>
  <si>
    <t>Integrated writing task</t>
  </si>
  <si>
    <t>Cloze</t>
  </si>
  <si>
    <t>Essay</t>
  </si>
  <si>
    <t>Fill-in-the-blank</t>
  </si>
  <si>
    <t>Written production</t>
  </si>
  <si>
    <t>SELECCIÓN</t>
  </si>
  <si>
    <t>GRAMMAR</t>
  </si>
  <si>
    <t>Unscramble sentence</t>
  </si>
  <si>
    <t>Sentence writing</t>
  </si>
  <si>
    <t>Completing sentences</t>
  </si>
  <si>
    <t>C-test</t>
  </si>
  <si>
    <t>Correcting mistakes</t>
  </si>
  <si>
    <t>TIPO DE INSTRUMENTO:</t>
  </si>
  <si>
    <t>TIPO_DE_INSTRUMENTO</t>
  </si>
  <si>
    <t>DIAGNÓSTICO</t>
  </si>
  <si>
    <t>CERTIFICACIÓN</t>
  </si>
  <si>
    <t>COLOCACIÓN</t>
  </si>
  <si>
    <t>EVALUACIÓN CONTINUA</t>
  </si>
  <si>
    <t>RAMIREZ MORALES ELDENIA TEODOSIA</t>
  </si>
  <si>
    <t>REYES RIVERA LORNA ARACELI</t>
  </si>
  <si>
    <t>Elaboró</t>
  </si>
  <si>
    <t>Prof. Edgar Hernández Flores</t>
  </si>
  <si>
    <t>Coordinador de Inglés</t>
  </si>
  <si>
    <t>Profesor(a) de Inglés</t>
  </si>
  <si>
    <t>Autorizó</t>
  </si>
  <si>
    <t>Valor por 
Ítem</t>
  </si>
  <si>
    <r>
      <rPr>
        <b/>
        <sz val="11"/>
        <color theme="0"/>
        <rFont val="Century Gothic"/>
        <family val="2"/>
      </rPr>
      <t xml:space="preserve">Subtotal </t>
    </r>
    <r>
      <rPr>
        <b/>
        <sz val="12"/>
        <color theme="0"/>
        <rFont val="Century Gothic"/>
        <family val="2"/>
      </rPr>
      <t xml:space="preserve">
Tiempo</t>
    </r>
  </si>
  <si>
    <r>
      <rPr>
        <b/>
        <sz val="11"/>
        <color theme="0"/>
        <rFont val="Century Gothic"/>
        <family val="2"/>
      </rPr>
      <t xml:space="preserve">Subtotal </t>
    </r>
    <r>
      <rPr>
        <b/>
        <sz val="12"/>
        <color theme="0"/>
        <rFont val="Century Gothic"/>
        <family val="2"/>
      </rPr>
      <t xml:space="preserve">
Sección</t>
    </r>
  </si>
  <si>
    <r>
      <rPr>
        <u/>
        <sz val="9"/>
        <color theme="1"/>
        <rFont val="Century Gothic"/>
        <family val="2"/>
      </rPr>
      <t>Tiempo</t>
    </r>
    <r>
      <rPr>
        <sz val="9"/>
        <color theme="1"/>
        <rFont val="Century Gothic"/>
        <family val="2"/>
      </rPr>
      <t xml:space="preserve"> de Resolución (minutos)</t>
    </r>
  </si>
  <si>
    <t>ORDINARIO</t>
  </si>
  <si>
    <t>DE PERIODO</t>
  </si>
  <si>
    <t>EXTRAORDINARIO</t>
  </si>
  <si>
    <t>DE CONTENIDOS</t>
  </si>
  <si>
    <t>TIEMPO ESTIMADO DE RESOLUCIÓN</t>
  </si>
  <si>
    <t>Task type</t>
  </si>
  <si>
    <t>Núm. Ítems</t>
  </si>
  <si>
    <t>TIEMPO ESTIMADO DE RESOLUCIÓN (mins.):</t>
  </si>
  <si>
    <t>María de Jesús Zúñiga González</t>
  </si>
  <si>
    <t>Ana Elva Berumen Velázquez</t>
  </si>
  <si>
    <t>UNAM 4.1 Dar sugerencias y rechazarlas</t>
  </si>
  <si>
    <t>4.2 Pronunciation Linking sounds (Top Notch 1, 3.12)</t>
  </si>
  <si>
    <t>4.3 Reading When adult children come home (Top Notch 1, 3.13)</t>
  </si>
  <si>
    <t>4.4 Review Unit 3 (Top Notch 1, 3.14)</t>
  </si>
  <si>
    <t>4.5 Preview Food and Restaurants  (Top Notch 1, 4.1)</t>
  </si>
  <si>
    <t>4.6 Vocabulary Parts of a meal  (Top Notch 1, 4.2)</t>
  </si>
  <si>
    <t>4.7 Speaking Strategies Ordering food  (Top Notch 1, 4.3)</t>
  </si>
  <si>
    <t>4.8 Vocabulary Categories of food  (Top Notch 1, 4.4)</t>
  </si>
  <si>
    <t>4.9 Grammar there is/there are, anything and nothing  (Top Notch 1, 4.5)</t>
  </si>
  <si>
    <t>4.10 Speaking Strategies Restaurant recommendations  (Top Notch 1, 4.6)</t>
  </si>
  <si>
    <t>4.11 Grammar Definite article the  (Top Notch 1, 4.7)</t>
  </si>
  <si>
    <t>4.12 Pronunciation the  (Top Notch 1, 4.8)</t>
  </si>
  <si>
    <t>2019-2020</t>
  </si>
  <si>
    <t>2020-2021</t>
  </si>
  <si>
    <t>HERNANDEZ FLORES EDGAR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</si>
</sst>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Century Gothic"/>
      <family val="2"/>
    </font>
    <font>
      <sz val="9"/>
      <color theme="1"/>
      <name val="Century Gothic"/>
      <family val="2"/>
    </font>
    <font>
      <u/>
      <sz val="9"/>
      <color theme="1"/>
      <name val="Century Gothic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2"/>
      <color theme="0"/>
      <name val="Century Gothic"/>
      <family val="2"/>
    </font>
    <font>
      <b/>
      <sz val="11"/>
      <color theme="0"/>
      <name val="Century Gothic"/>
      <family val="2"/>
    </font>
    <font>
      <sz val="14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name val="Century Gothic"/>
      <family val="2"/>
    </font>
    <font>
      <sz val="1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left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3" borderId="0" xfId="0" applyFill="1"/>
    <xf numFmtId="0" fontId="3" fillId="3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left"/>
    </xf>
    <xf numFmtId="0" fontId="1" fillId="0" borderId="0" xfId="0" applyFont="1" applyFill="1" applyAlignment="1">
      <alignment horizontal="left"/>
    </xf>
    <xf numFmtId="0" fontId="5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1" fillId="0" borderId="0" xfId="0" applyFont="1" applyFill="1"/>
    <xf numFmtId="0" fontId="5" fillId="0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wrapText="1"/>
    </xf>
    <xf numFmtId="0" fontId="5" fillId="0" borderId="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6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0" xfId="0" applyFont="1" applyAlignment="1">
      <alignment horizontal="center" vertical="center" wrapText="1"/>
    </xf>
    <xf numFmtId="0" fontId="9" fillId="0" borderId="0" xfId="0" applyFont="1"/>
    <xf numFmtId="0" fontId="10" fillId="0" borderId="0" xfId="0" applyFont="1" applyAlignment="1">
      <alignment horizontal="right"/>
    </xf>
    <xf numFmtId="0" fontId="7" fillId="3" borderId="0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7" fillId="3" borderId="0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left"/>
    </xf>
    <xf numFmtId="0" fontId="12" fillId="0" borderId="0" xfId="0" applyFont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14" fillId="0" borderId="1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6" fillId="0" borderId="16" xfId="0" applyFont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6" fillId="0" borderId="15" xfId="0" applyFont="1" applyBorder="1" applyAlignment="1">
      <alignment vertical="center" wrapText="1"/>
    </xf>
    <xf numFmtId="0" fontId="14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4" xfId="0" applyFont="1" applyBorder="1" applyAlignment="1">
      <alignment vertical="center" wrapText="1"/>
    </xf>
    <xf numFmtId="0" fontId="6" fillId="0" borderId="19" xfId="0" applyFont="1" applyBorder="1" applyAlignment="1">
      <alignment vertical="center"/>
    </xf>
    <xf numFmtId="0" fontId="6" fillId="0" borderId="19" xfId="0" applyFont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0" fillId="5" borderId="0" xfId="0" applyFill="1"/>
    <xf numFmtId="0" fontId="0" fillId="6" borderId="0" xfId="0" applyFill="1"/>
    <xf numFmtId="0" fontId="5" fillId="0" borderId="0" xfId="0" applyFont="1" applyFill="1" applyBorder="1" applyAlignment="1">
      <alignment horizontal="center" vertical="center" wrapText="1"/>
    </xf>
    <xf numFmtId="0" fontId="0" fillId="0" borderId="12" xfId="0" applyBorder="1"/>
    <xf numFmtId="0" fontId="16" fillId="2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20" fillId="7" borderId="1" xfId="0" applyFont="1" applyFill="1" applyBorder="1" applyAlignment="1">
      <alignment horizontal="center" vertical="center" wrapText="1"/>
    </xf>
    <xf numFmtId="0" fontId="14" fillId="0" borderId="20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" xfId="0" applyFont="1" applyFill="1" applyBorder="1" applyAlignment="1">
      <alignment horizontal="left"/>
    </xf>
    <xf numFmtId="0" fontId="24" fillId="0" borderId="1" xfId="0" applyFont="1" applyFill="1" applyBorder="1" applyAlignment="1">
      <alignment horizontal="center"/>
    </xf>
    <xf numFmtId="0" fontId="24" fillId="0" borderId="1" xfId="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wrapText="1"/>
    </xf>
    <xf numFmtId="0" fontId="24" fillId="0" borderId="3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horizontal="left"/>
    </xf>
    <xf numFmtId="0" fontId="24" fillId="0" borderId="0" xfId="0" applyFont="1" applyFill="1" applyAlignment="1">
      <alignment horizontal="center"/>
    </xf>
    <xf numFmtId="0" fontId="19" fillId="0" borderId="0" xfId="0" applyFont="1"/>
    <xf numFmtId="0" fontId="23" fillId="0" borderId="0" xfId="0" applyFont="1" applyFill="1"/>
    <xf numFmtId="0" fontId="10" fillId="0" borderId="12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25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2355273</xdr:colOff>
      <xdr:row>0</xdr:row>
      <xdr:rowOff>43295</xdr:rowOff>
    </xdr:from>
    <xdr:to>
      <xdr:col>1</xdr:col>
      <xdr:colOff>3454112</xdr:colOff>
      <xdr:row>3</xdr:row>
      <xdr:rowOff>271222</xdr:rowOff>
    </xdr:to>
    <xdr:pic>
      <xdr:nvPicPr>
        <xdr:cNvPr id="3" name="Imagen 2" descr="Emblema-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818" y="43295"/>
          <a:ext cx="1098839" cy="1111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AF27"/>
  <sheetViews>
    <sheetView topLeftCell="L1" zoomScale="55" zoomScaleNormal="55" zoomScaleSheetLayoutView="25" workbookViewId="0">
      <selection activeCell="O13" sqref="O13"/>
    </sheetView>
  </sheetViews>
  <sheetFormatPr baseColWidth="10" defaultRowHeight="15" x14ac:dyDescent="0.25"/>
  <cols>
    <col min="1" max="1" width="14.85546875" bestFit="1" customWidth="1"/>
    <col min="2" max="2" width="11.85546875" bestFit="1" customWidth="1"/>
    <col min="3" max="3" width="17.28515625" bestFit="1" customWidth="1"/>
    <col min="4" max="4" width="22" customWidth="1"/>
    <col min="5" max="5" width="32.28515625" customWidth="1"/>
    <col min="6" max="6" width="40.42578125" bestFit="1" customWidth="1"/>
    <col min="7" max="7" width="43.7109375" bestFit="1" customWidth="1"/>
    <col min="8" max="8" width="55.140625" bestFit="1" customWidth="1"/>
    <col min="9" max="9" width="35" bestFit="1" customWidth="1"/>
    <col min="10" max="10" width="55.140625" bestFit="1" customWidth="1"/>
    <col min="11" max="11" width="26.85546875" bestFit="1" customWidth="1"/>
    <col min="12" max="12" width="27.42578125" style="74" bestFit="1" customWidth="1"/>
    <col min="13" max="13" width="28.28515625" bestFit="1" customWidth="1"/>
    <col min="14" max="14" width="39.5703125" style="1" bestFit="1" customWidth="1"/>
    <col min="15" max="15" width="41.42578125" style="1" bestFit="1" customWidth="1"/>
    <col min="16" max="16" width="8.28515625" bestFit="1" customWidth="1"/>
    <col min="17" max="17" width="8.140625" bestFit="1" customWidth="1"/>
    <col min="18" max="18" width="9.85546875" bestFit="1" customWidth="1"/>
    <col min="19" max="19" width="15.7109375" bestFit="1" customWidth="1"/>
    <col min="20" max="20" width="13.85546875" bestFit="1" customWidth="1"/>
    <col min="21" max="21" width="30.140625" bestFit="1" customWidth="1"/>
    <col min="22" max="22" width="31.5703125" bestFit="1" customWidth="1"/>
    <col min="23" max="23" width="31.140625" bestFit="1" customWidth="1"/>
    <col min="24" max="24" width="26.42578125" bestFit="1" customWidth="1"/>
    <col min="25" max="25" width="27.42578125" bestFit="1" customWidth="1"/>
    <col min="26" max="26" width="29.7109375" bestFit="1" customWidth="1"/>
    <col min="27" max="27" width="30.5703125" bestFit="1" customWidth="1"/>
    <col min="28" max="29" width="31.85546875" bestFit="1" customWidth="1"/>
    <col min="30" max="30" width="19.5703125" bestFit="1" customWidth="1"/>
  </cols>
  <sheetData>
    <row r="1" spans="2:32" ht="31.5" x14ac:dyDescent="0.25">
      <c r="B1" s="33" t="s">
        <v>71</v>
      </c>
      <c r="C1" s="33" t="s">
        <v>70</v>
      </c>
      <c r="D1" s="34" t="s">
        <v>69</v>
      </c>
      <c r="E1" s="35" t="s">
        <v>53</v>
      </c>
      <c r="F1" s="35" t="s">
        <v>54</v>
      </c>
      <c r="G1" s="35" t="s">
        <v>55</v>
      </c>
      <c r="H1" s="36" t="s">
        <v>72</v>
      </c>
      <c r="I1" s="36" t="s">
        <v>68</v>
      </c>
      <c r="J1" s="36" t="s">
        <v>67</v>
      </c>
      <c r="K1" s="36" t="s">
        <v>66</v>
      </c>
      <c r="L1" s="41" t="s">
        <v>207</v>
      </c>
      <c r="M1" s="43" t="s">
        <v>187</v>
      </c>
      <c r="N1" s="43" t="s">
        <v>81</v>
      </c>
      <c r="O1" s="43" t="s">
        <v>82</v>
      </c>
      <c r="P1" s="41" t="s">
        <v>83</v>
      </c>
      <c r="Q1" s="41" t="s">
        <v>84</v>
      </c>
      <c r="R1" s="41" t="s">
        <v>85</v>
      </c>
      <c r="S1" s="41" t="s">
        <v>86</v>
      </c>
      <c r="U1" s="61" t="s">
        <v>134</v>
      </c>
      <c r="V1" s="62" t="s">
        <v>148</v>
      </c>
      <c r="W1" t="s">
        <v>169</v>
      </c>
      <c r="X1" t="s">
        <v>175</v>
      </c>
      <c r="Y1" t="s">
        <v>175</v>
      </c>
      <c r="Z1" t="s">
        <v>175</v>
      </c>
      <c r="AA1" s="61" t="s">
        <v>127</v>
      </c>
      <c r="AB1" s="62" t="s">
        <v>164</v>
      </c>
      <c r="AC1" t="s">
        <v>165</v>
      </c>
      <c r="AD1" t="s">
        <v>178</v>
      </c>
      <c r="AE1" t="s">
        <v>59</v>
      </c>
      <c r="AF1" t="s">
        <v>180</v>
      </c>
    </row>
    <row r="2" spans="2:32" ht="40.5" x14ac:dyDescent="0.35">
      <c r="B2" s="75" t="s">
        <v>11</v>
      </c>
      <c r="C2" s="75" t="s">
        <v>179</v>
      </c>
      <c r="D2" s="76" t="s">
        <v>0</v>
      </c>
      <c r="E2" s="77" t="s">
        <v>0</v>
      </c>
      <c r="F2" s="77" t="s">
        <v>0</v>
      </c>
      <c r="G2" s="77" t="s">
        <v>0</v>
      </c>
      <c r="H2" s="77" t="s">
        <v>31</v>
      </c>
      <c r="I2" s="78" t="s">
        <v>48</v>
      </c>
      <c r="J2" s="77" t="s">
        <v>35</v>
      </c>
      <c r="K2" s="79" t="s">
        <v>64</v>
      </c>
      <c r="L2" s="74">
        <v>5</v>
      </c>
      <c r="M2" s="63" t="s">
        <v>189</v>
      </c>
      <c r="N2" s="44" t="s">
        <v>120</v>
      </c>
      <c r="O2" s="44" t="s">
        <v>105</v>
      </c>
      <c r="P2" s="42" t="s">
        <v>96</v>
      </c>
      <c r="Q2" s="42" t="s">
        <v>111</v>
      </c>
      <c r="R2" s="42">
        <v>1</v>
      </c>
      <c r="S2" s="42" t="s">
        <v>88</v>
      </c>
      <c r="U2" s="61" t="s">
        <v>130</v>
      </c>
      <c r="V2" s="62" t="s">
        <v>150</v>
      </c>
      <c r="W2" t="s">
        <v>134</v>
      </c>
      <c r="X2" t="s">
        <v>154</v>
      </c>
      <c r="Y2" t="s">
        <v>183</v>
      </c>
      <c r="Z2" t="s">
        <v>183</v>
      </c>
    </row>
    <row r="3" spans="2:32" ht="40.5" x14ac:dyDescent="0.35">
      <c r="B3" s="75" t="s">
        <v>12</v>
      </c>
      <c r="C3" s="75" t="s">
        <v>4</v>
      </c>
      <c r="D3" s="76" t="s">
        <v>2</v>
      </c>
      <c r="E3" s="77" t="s">
        <v>38</v>
      </c>
      <c r="F3" s="77" t="s">
        <v>38</v>
      </c>
      <c r="G3" s="77" t="s">
        <v>38</v>
      </c>
      <c r="H3" s="80" t="s">
        <v>60</v>
      </c>
      <c r="I3" s="77" t="s">
        <v>62</v>
      </c>
      <c r="J3" s="77" t="s">
        <v>60</v>
      </c>
      <c r="K3" s="79" t="s">
        <v>65</v>
      </c>
      <c r="L3" s="74">
        <v>10</v>
      </c>
      <c r="M3" s="63" t="s">
        <v>190</v>
      </c>
      <c r="N3" s="44" t="s">
        <v>108</v>
      </c>
      <c r="O3" s="44" t="s">
        <v>212</v>
      </c>
      <c r="P3" s="42" t="s">
        <v>100</v>
      </c>
      <c r="Q3" s="42" t="s">
        <v>112</v>
      </c>
      <c r="R3" s="42">
        <v>2</v>
      </c>
      <c r="S3" s="42" t="s">
        <v>89</v>
      </c>
      <c r="U3" s="61" t="s">
        <v>140</v>
      </c>
      <c r="V3" s="62" t="s">
        <v>154</v>
      </c>
      <c r="W3" t="s">
        <v>130</v>
      </c>
      <c r="X3" t="s">
        <v>143</v>
      </c>
      <c r="Y3" t="s">
        <v>130</v>
      </c>
      <c r="Z3" t="s">
        <v>130</v>
      </c>
    </row>
    <row r="4" spans="2:32" ht="40.5" x14ac:dyDescent="0.35">
      <c r="B4" s="81"/>
      <c r="C4" s="75" t="s">
        <v>5</v>
      </c>
      <c r="D4" s="76" t="s">
        <v>1</v>
      </c>
      <c r="E4" s="79" t="s">
        <v>39</v>
      </c>
      <c r="F4" s="79" t="s">
        <v>39</v>
      </c>
      <c r="G4" s="79" t="s">
        <v>39</v>
      </c>
      <c r="H4" s="80" t="s">
        <v>61</v>
      </c>
      <c r="I4" s="77" t="s">
        <v>63</v>
      </c>
      <c r="J4" s="77" t="s">
        <v>61</v>
      </c>
      <c r="K4" s="82"/>
      <c r="L4" s="74">
        <v>15</v>
      </c>
      <c r="M4" s="63" t="s">
        <v>206</v>
      </c>
      <c r="N4" s="44" t="s">
        <v>109</v>
      </c>
      <c r="O4" s="44" t="s">
        <v>211</v>
      </c>
      <c r="P4" s="42" t="s">
        <v>97</v>
      </c>
      <c r="Q4" s="42" t="s">
        <v>113</v>
      </c>
      <c r="R4" s="42">
        <v>3</v>
      </c>
      <c r="S4" s="42" t="s">
        <v>90</v>
      </c>
      <c r="U4" s="61" t="s">
        <v>137</v>
      </c>
      <c r="V4" s="62" t="s">
        <v>143</v>
      </c>
      <c r="W4" t="s">
        <v>172</v>
      </c>
      <c r="X4" t="s">
        <v>176</v>
      </c>
      <c r="Y4" t="s">
        <v>185</v>
      </c>
      <c r="Z4" t="s">
        <v>185</v>
      </c>
    </row>
    <row r="5" spans="2:32" ht="39" x14ac:dyDescent="0.35">
      <c r="B5" s="81"/>
      <c r="C5" s="75" t="s">
        <v>13</v>
      </c>
      <c r="D5" s="76" t="s">
        <v>3</v>
      </c>
      <c r="E5" s="77" t="s">
        <v>40</v>
      </c>
      <c r="F5" s="77" t="s">
        <v>40</v>
      </c>
      <c r="G5" s="77" t="s">
        <v>40</v>
      </c>
      <c r="H5" s="80" t="s">
        <v>33</v>
      </c>
      <c r="I5" s="82"/>
      <c r="J5" s="77" t="s">
        <v>33</v>
      </c>
      <c r="K5" s="82"/>
      <c r="L5" s="74">
        <v>20</v>
      </c>
      <c r="M5" s="63" t="s">
        <v>204</v>
      </c>
      <c r="N5" s="44" t="s">
        <v>110</v>
      </c>
      <c r="O5" s="44" t="s">
        <v>104</v>
      </c>
      <c r="P5" s="42" t="s">
        <v>98</v>
      </c>
      <c r="Q5" s="42" t="s">
        <v>114</v>
      </c>
      <c r="R5" s="42">
        <v>4</v>
      </c>
      <c r="S5" s="42" t="s">
        <v>225</v>
      </c>
      <c r="U5" s="61" t="s">
        <v>131</v>
      </c>
      <c r="V5" s="62" t="s">
        <v>149</v>
      </c>
      <c r="W5" t="s">
        <v>167</v>
      </c>
      <c r="X5" t="s">
        <v>153</v>
      </c>
      <c r="Y5" t="s">
        <v>184</v>
      </c>
      <c r="Z5" t="s">
        <v>184</v>
      </c>
    </row>
    <row r="6" spans="2:32" ht="21" x14ac:dyDescent="0.35">
      <c r="B6" s="81"/>
      <c r="C6" s="75" t="s">
        <v>6</v>
      </c>
      <c r="D6" s="82"/>
      <c r="E6" s="83"/>
      <c r="F6" s="83"/>
      <c r="G6" s="83"/>
      <c r="H6" s="82"/>
      <c r="I6" s="82"/>
      <c r="J6" s="82"/>
      <c r="K6" s="82"/>
      <c r="L6" s="74">
        <v>25</v>
      </c>
      <c r="M6" s="63" t="s">
        <v>188</v>
      </c>
      <c r="N6" s="44"/>
      <c r="O6" s="44" t="s">
        <v>102</v>
      </c>
      <c r="P6" s="42" t="s">
        <v>99</v>
      </c>
      <c r="Q6" s="42" t="s">
        <v>115</v>
      </c>
      <c r="R6" s="42">
        <v>5</v>
      </c>
      <c r="S6" s="42" t="s">
        <v>226</v>
      </c>
      <c r="U6" s="61" t="s">
        <v>133</v>
      </c>
      <c r="V6" s="62" t="s">
        <v>153</v>
      </c>
      <c r="W6" t="s">
        <v>168</v>
      </c>
      <c r="X6" t="s">
        <v>140</v>
      </c>
      <c r="Y6" t="s">
        <v>145</v>
      </c>
      <c r="Z6" t="s">
        <v>145</v>
      </c>
    </row>
    <row r="7" spans="2:32" ht="34.5" x14ac:dyDescent="0.35">
      <c r="B7" s="81"/>
      <c r="C7" s="75" t="s">
        <v>14</v>
      </c>
      <c r="D7" s="84"/>
      <c r="E7" s="84"/>
      <c r="F7" s="84"/>
      <c r="G7" s="84"/>
      <c r="H7" s="84"/>
      <c r="I7" s="84"/>
      <c r="J7" s="84"/>
      <c r="K7" s="84"/>
      <c r="L7" s="74">
        <v>30</v>
      </c>
      <c r="M7" s="63" t="s">
        <v>191</v>
      </c>
      <c r="N7" s="44"/>
      <c r="O7" s="44" t="s">
        <v>106</v>
      </c>
      <c r="P7" s="42" t="s">
        <v>101</v>
      </c>
      <c r="Q7" s="42" t="s">
        <v>91</v>
      </c>
      <c r="R7" s="42"/>
      <c r="S7" s="42"/>
      <c r="U7" s="61" t="s">
        <v>141</v>
      </c>
      <c r="V7" s="62" t="s">
        <v>140</v>
      </c>
      <c r="W7" t="s">
        <v>131</v>
      </c>
      <c r="X7" t="s">
        <v>177</v>
      </c>
      <c r="Y7" t="s">
        <v>131</v>
      </c>
      <c r="Z7" t="s">
        <v>131</v>
      </c>
    </row>
    <row r="8" spans="2:32" ht="21" x14ac:dyDescent="0.35">
      <c r="B8" s="81"/>
      <c r="C8" s="75" t="s">
        <v>7</v>
      </c>
      <c r="D8" s="84"/>
      <c r="E8" s="84"/>
      <c r="F8" s="84"/>
      <c r="G8" s="84"/>
      <c r="H8" s="84"/>
      <c r="I8" s="84"/>
      <c r="J8" s="84"/>
      <c r="K8" s="84"/>
      <c r="L8" s="74">
        <v>35</v>
      </c>
      <c r="M8" s="63" t="s">
        <v>205</v>
      </c>
      <c r="N8" s="44"/>
      <c r="O8" s="44" t="s">
        <v>192</v>
      </c>
      <c r="P8" s="42"/>
      <c r="Q8" s="42" t="s">
        <v>116</v>
      </c>
      <c r="R8" s="42"/>
      <c r="S8" s="42"/>
      <c r="U8" s="61" t="s">
        <v>135</v>
      </c>
      <c r="V8" s="62" t="s">
        <v>147</v>
      </c>
      <c r="W8" t="s">
        <v>166</v>
      </c>
      <c r="X8" t="s">
        <v>174</v>
      </c>
      <c r="Y8" t="s">
        <v>173</v>
      </c>
      <c r="Z8" t="s">
        <v>173</v>
      </c>
    </row>
    <row r="9" spans="2:32" ht="21" x14ac:dyDescent="0.35">
      <c r="B9" s="83"/>
      <c r="C9" s="75" t="s">
        <v>8</v>
      </c>
      <c r="D9" s="83"/>
      <c r="E9" s="83"/>
      <c r="F9" s="83"/>
      <c r="G9" s="83"/>
      <c r="H9" s="83"/>
      <c r="I9" s="83"/>
      <c r="J9" s="83"/>
      <c r="K9" s="83"/>
      <c r="L9" s="74">
        <v>40</v>
      </c>
      <c r="M9" s="63" t="s">
        <v>203</v>
      </c>
      <c r="N9" s="44"/>
      <c r="O9" s="44" t="s">
        <v>193</v>
      </c>
      <c r="P9" s="42"/>
      <c r="Q9" s="42" t="s">
        <v>92</v>
      </c>
      <c r="R9" s="42"/>
      <c r="S9" s="42"/>
      <c r="U9" s="61" t="s">
        <v>136</v>
      </c>
      <c r="V9" s="62" t="s">
        <v>145</v>
      </c>
      <c r="W9" t="s">
        <v>135</v>
      </c>
      <c r="X9" t="s">
        <v>144</v>
      </c>
      <c r="Y9" t="s">
        <v>128</v>
      </c>
      <c r="Z9" t="s">
        <v>128</v>
      </c>
    </row>
    <row r="10" spans="2:32" x14ac:dyDescent="0.25">
      <c r="L10" s="74">
        <v>45</v>
      </c>
      <c r="N10" s="44"/>
      <c r="O10" s="44" t="s">
        <v>107</v>
      </c>
      <c r="P10" s="42"/>
      <c r="Q10" s="42" t="s">
        <v>117</v>
      </c>
      <c r="R10" s="42"/>
      <c r="S10" s="42"/>
      <c r="U10" s="61" t="s">
        <v>138</v>
      </c>
      <c r="V10" s="62" t="s">
        <v>146</v>
      </c>
      <c r="W10" t="s">
        <v>171</v>
      </c>
      <c r="X10" t="s">
        <v>173</v>
      </c>
      <c r="Y10" t="s">
        <v>182</v>
      </c>
      <c r="Z10" t="s">
        <v>182</v>
      </c>
    </row>
    <row r="11" spans="2:32" x14ac:dyDescent="0.25">
      <c r="L11" s="74">
        <v>50</v>
      </c>
      <c r="N11" s="44"/>
      <c r="O11" s="44" t="s">
        <v>103</v>
      </c>
      <c r="P11" s="42"/>
      <c r="Q11" s="42" t="s">
        <v>93</v>
      </c>
      <c r="R11" s="42"/>
      <c r="S11" s="42"/>
      <c r="U11" s="61" t="s">
        <v>139</v>
      </c>
      <c r="V11" s="62" t="s">
        <v>158</v>
      </c>
      <c r="W11" t="s">
        <v>136</v>
      </c>
      <c r="X11" t="s">
        <v>160</v>
      </c>
      <c r="Y11" t="s">
        <v>129</v>
      </c>
      <c r="Z11" t="s">
        <v>129</v>
      </c>
    </row>
    <row r="12" spans="2:32" x14ac:dyDescent="0.25">
      <c r="L12" s="74">
        <v>55</v>
      </c>
      <c r="N12" s="44"/>
      <c r="O12" s="44" t="s">
        <v>227</v>
      </c>
      <c r="P12" s="42"/>
      <c r="Q12" s="42" t="s">
        <v>93</v>
      </c>
      <c r="R12" s="42"/>
      <c r="S12" s="42"/>
      <c r="U12" s="61" t="s">
        <v>128</v>
      </c>
      <c r="V12" s="62" t="s">
        <v>142</v>
      </c>
      <c r="W12" t="s">
        <v>170</v>
      </c>
      <c r="X12" t="s">
        <v>152</v>
      </c>
      <c r="Y12" t="s">
        <v>132</v>
      </c>
      <c r="Z12" t="s">
        <v>132</v>
      </c>
    </row>
    <row r="13" spans="2:32" x14ac:dyDescent="0.25">
      <c r="L13" s="74">
        <v>60</v>
      </c>
      <c r="N13" s="44"/>
      <c r="O13" s="44"/>
      <c r="P13" s="42"/>
      <c r="Q13" s="42" t="s">
        <v>94</v>
      </c>
      <c r="R13" s="42"/>
      <c r="S13" s="42"/>
      <c r="U13" s="61" t="s">
        <v>129</v>
      </c>
      <c r="V13" s="62" t="s">
        <v>151</v>
      </c>
      <c r="W13" t="s">
        <v>128</v>
      </c>
      <c r="X13" t="s">
        <v>161</v>
      </c>
      <c r="Y13" t="s">
        <v>181</v>
      </c>
      <c r="Z13" t="s">
        <v>181</v>
      </c>
    </row>
    <row r="14" spans="2:32" x14ac:dyDescent="0.25">
      <c r="L14" s="74">
        <v>65</v>
      </c>
      <c r="N14" s="44"/>
      <c r="O14" s="44"/>
      <c r="P14" s="42"/>
      <c r="Q14" s="42" t="s">
        <v>118</v>
      </c>
      <c r="R14" s="42"/>
      <c r="S14" s="42"/>
      <c r="U14" s="61" t="s">
        <v>132</v>
      </c>
      <c r="V14" s="62" t="s">
        <v>144</v>
      </c>
      <c r="W14" t="s">
        <v>129</v>
      </c>
      <c r="X14" t="s">
        <v>156</v>
      </c>
    </row>
    <row r="15" spans="2:32" x14ac:dyDescent="0.25">
      <c r="L15" s="74">
        <v>70</v>
      </c>
      <c r="N15" s="44"/>
      <c r="O15" s="44"/>
      <c r="P15" s="42"/>
      <c r="Q15" s="42" t="s">
        <v>95</v>
      </c>
      <c r="R15" s="42"/>
      <c r="S15" s="42"/>
      <c r="V15" s="62" t="s">
        <v>141</v>
      </c>
      <c r="W15" t="s">
        <v>132</v>
      </c>
      <c r="X15" t="s">
        <v>138</v>
      </c>
    </row>
    <row r="16" spans="2:32" x14ac:dyDescent="0.25">
      <c r="L16" s="74">
        <v>75</v>
      </c>
      <c r="N16" s="44"/>
      <c r="O16" s="44"/>
      <c r="P16" s="42"/>
      <c r="Q16" s="42" t="s">
        <v>119</v>
      </c>
      <c r="R16" s="42"/>
      <c r="S16" s="42"/>
      <c r="V16" s="62" t="s">
        <v>159</v>
      </c>
      <c r="X16" t="s">
        <v>139</v>
      </c>
    </row>
    <row r="17" spans="12:24" x14ac:dyDescent="0.25">
      <c r="L17" s="74">
        <v>80</v>
      </c>
      <c r="N17" s="44"/>
      <c r="O17" s="44"/>
      <c r="P17" s="42"/>
      <c r="Q17" s="42"/>
      <c r="R17" s="42"/>
      <c r="S17" s="42"/>
      <c r="V17" s="62" t="s">
        <v>160</v>
      </c>
      <c r="X17" t="s">
        <v>162</v>
      </c>
    </row>
    <row r="18" spans="12:24" x14ac:dyDescent="0.25">
      <c r="L18" s="74">
        <v>85</v>
      </c>
      <c r="V18" s="62" t="s">
        <v>152</v>
      </c>
      <c r="X18" t="s">
        <v>163</v>
      </c>
    </row>
    <row r="19" spans="12:24" x14ac:dyDescent="0.25">
      <c r="L19" s="74">
        <v>90</v>
      </c>
      <c r="V19" s="62" t="s">
        <v>161</v>
      </c>
    </row>
    <row r="20" spans="12:24" x14ac:dyDescent="0.25">
      <c r="V20" s="62" t="s">
        <v>156</v>
      </c>
    </row>
    <row r="21" spans="12:24" x14ac:dyDescent="0.25">
      <c r="V21" s="62" t="s">
        <v>138</v>
      </c>
    </row>
    <row r="22" spans="12:24" x14ac:dyDescent="0.25">
      <c r="V22" s="62" t="s">
        <v>139</v>
      </c>
    </row>
    <row r="23" spans="12:24" x14ac:dyDescent="0.25">
      <c r="V23" s="62" t="s">
        <v>155</v>
      </c>
    </row>
    <row r="24" spans="12:24" x14ac:dyDescent="0.25">
      <c r="V24" s="62" t="s">
        <v>162</v>
      </c>
    </row>
    <row r="25" spans="12:24" x14ac:dyDescent="0.25">
      <c r="V25" s="62" t="s">
        <v>163</v>
      </c>
    </row>
    <row r="26" spans="12:24" x14ac:dyDescent="0.25">
      <c r="V26" s="62" t="s">
        <v>157</v>
      </c>
    </row>
    <row r="27" spans="12:24" x14ac:dyDescent="0.25">
      <c r="V27" s="62"/>
    </row>
  </sheetData>
  <sortState ref="M2:M9">
    <sortCondition ref="M2"/>
  </sortState>
  <dataValidations count="8">
    <dataValidation type="list" allowBlank="1" showInputMessage="1" showErrorMessage="1" sqref="E11:E35">
      <formula1>$B$2:$B$3</formula1>
    </dataValidation>
    <dataValidation type="list" allowBlank="1" showInputMessage="1" showErrorMessage="1" sqref="F11:F35">
      <formula1>",VOCABULARIO,GRAMÁTICA: FORMA,GRAMÁTICA: SIGNIFICADO,GRAMÁTICA: USO PRÁCTICO,COMPRENSIÓN AUDITIVA,PRODUCCIÓN ESCRITA,COMPRENSIÓN ESCRITA,PRODUCCIÓN HABLADA"</formula1>
    </dataValidation>
    <dataValidation type="list" allowBlank="1" showInputMessage="1" showErrorMessage="1" sqref="H11:H35 J11:J35">
      <formula1>$C$2:$C$9</formula1>
    </dataValidation>
    <dataValidation type="list" allowBlank="1" showInputMessage="1" showErrorMessage="1" sqref="C5">
      <formula1>$N$2:$N$5</formula1>
    </dataValidation>
    <dataValidation type="list" allowBlank="1" showInputMessage="1" showErrorMessage="1" sqref="C6">
      <formula1>$O$2:$O$12</formula1>
    </dataValidation>
    <dataValidation type="list" allowBlank="1" showInputMessage="1" showErrorMessage="1" sqref="H5">
      <formula1>$P$2:$P$7</formula1>
    </dataValidation>
    <dataValidation type="list" allowBlank="1" showInputMessage="1" showErrorMessage="1" sqref="H6">
      <formula1>$Q$2:$Q$16</formula1>
    </dataValidation>
    <dataValidation type="list" allowBlank="1" showInputMessage="1" showErrorMessage="1" sqref="G4">
      <formula1>$S$2:$S$6</formula1>
    </dataValidation>
  </dataValidations>
  <pageMargins left="0.70866141732283472" right="0.70866141732283472" top="0.74803149606299213" bottom="0.74803149606299213" header="0.31496062992125984" footer="0.31496062992125984"/>
  <pageSetup scale="3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O43"/>
  <sheetViews>
    <sheetView showGridLines="0" tabSelected="1" view="pageBreakPreview" zoomScale="40" zoomScaleNormal="55" zoomScaleSheetLayoutView="40" zoomScalePageLayoutView="55" workbookViewId="0">
      <selection activeCell="I17" sqref="I17"/>
    </sheetView>
  </sheetViews>
  <sheetFormatPr baseColWidth="10" defaultRowHeight="15" x14ac:dyDescent="0.25"/>
  <cols>
    <col min="1" max="1" width="2.140625" customWidth="1"/>
    <col min="2" max="2" width="51.85546875" customWidth="1"/>
    <col min="3" max="3" width="11.28515625" bestFit="1" customWidth="1"/>
    <col min="4" max="4" width="9.7109375" bestFit="1" customWidth="1"/>
    <col min="5" max="5" width="12.85546875" style="32" bestFit="1" customWidth="1"/>
    <col min="6" max="6" width="29.42578125" style="38" customWidth="1"/>
    <col min="7" max="7" width="58.42578125" style="3" customWidth="1"/>
    <col min="8" max="8" width="13.140625" customWidth="1"/>
    <col min="9" max="9" width="21.85546875" customWidth="1"/>
    <col min="10" max="10" width="12" customWidth="1"/>
    <col min="11" max="11" width="7.42578125" customWidth="1"/>
    <col min="12" max="12" width="10.5703125" customWidth="1"/>
    <col min="13" max="13" width="9.85546875" bestFit="1" customWidth="1"/>
    <col min="14" max="15" width="12.28515625" customWidth="1"/>
    <col min="16" max="16" width="5" customWidth="1"/>
    <col min="17" max="18" width="47.5703125" customWidth="1"/>
  </cols>
  <sheetData>
    <row r="1" spans="2:15" ht="23.25" x14ac:dyDescent="0.35">
      <c r="B1" s="86" t="s">
        <v>73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2:15" ht="23.25" x14ac:dyDescent="0.35">
      <c r="B2" s="86" t="s">
        <v>74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2:15" ht="23.25" x14ac:dyDescent="0.35">
      <c r="B3" s="86" t="s">
        <v>121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2:15" ht="23.25" x14ac:dyDescent="0.35">
      <c r="E4"/>
      <c r="F4" s="40" t="s">
        <v>87</v>
      </c>
      <c r="G4" s="45" t="s">
        <v>225</v>
      </c>
    </row>
    <row r="5" spans="2:15" ht="23.25" x14ac:dyDescent="0.35">
      <c r="E5"/>
      <c r="F5" s="40"/>
      <c r="G5" s="40"/>
    </row>
    <row r="6" spans="2:15" ht="23.25" x14ac:dyDescent="0.35">
      <c r="B6" s="40" t="s">
        <v>75</v>
      </c>
      <c r="C6" s="85" t="s">
        <v>109</v>
      </c>
      <c r="D6" s="85"/>
      <c r="E6" s="85"/>
      <c r="F6" s="85"/>
      <c r="G6" s="40" t="s">
        <v>77</v>
      </c>
      <c r="H6" s="85" t="s">
        <v>96</v>
      </c>
      <c r="I6" s="85"/>
      <c r="L6" s="40" t="s">
        <v>79</v>
      </c>
      <c r="M6" s="89">
        <f ca="1">+TODAY()</f>
        <v>43726</v>
      </c>
      <c r="N6" s="85"/>
    </row>
    <row r="7" spans="2:15" ht="23.25" x14ac:dyDescent="0.35">
      <c r="B7" s="40" t="s">
        <v>76</v>
      </c>
      <c r="C7" s="87" t="s">
        <v>227</v>
      </c>
      <c r="D7" s="87"/>
      <c r="E7" s="87"/>
      <c r="F7" s="87"/>
      <c r="G7" s="40" t="s">
        <v>78</v>
      </c>
      <c r="H7" s="85" t="s">
        <v>112</v>
      </c>
      <c r="I7" s="85"/>
      <c r="L7" s="40" t="s">
        <v>80</v>
      </c>
      <c r="M7" s="88">
        <v>1</v>
      </c>
      <c r="N7" s="88"/>
    </row>
    <row r="8" spans="2:15" ht="23.25" x14ac:dyDescent="0.35">
      <c r="B8" s="40" t="s">
        <v>186</v>
      </c>
      <c r="C8" s="85" t="s">
        <v>206</v>
      </c>
      <c r="D8" s="85"/>
      <c r="E8" s="85"/>
      <c r="F8" s="85"/>
      <c r="G8"/>
      <c r="L8" s="40" t="s">
        <v>210</v>
      </c>
      <c r="M8" s="88">
        <v>40</v>
      </c>
      <c r="N8" s="88"/>
    </row>
    <row r="9" spans="2:15" x14ac:dyDescent="0.25">
      <c r="E9"/>
      <c r="F9" s="37"/>
      <c r="G9"/>
    </row>
    <row r="10" spans="2:15" x14ac:dyDescent="0.25">
      <c r="E10"/>
      <c r="F10" s="37"/>
      <c r="G10"/>
    </row>
    <row r="11" spans="2:15" ht="48" customHeight="1" x14ac:dyDescent="0.25">
      <c r="B11" s="59" t="s">
        <v>51</v>
      </c>
      <c r="C11" s="59" t="s">
        <v>123</v>
      </c>
      <c r="D11" s="60" t="s">
        <v>52</v>
      </c>
      <c r="E11" s="59" t="s">
        <v>10</v>
      </c>
      <c r="F11" s="59" t="s">
        <v>122</v>
      </c>
      <c r="G11" s="59" t="s">
        <v>126</v>
      </c>
      <c r="H11" s="59" t="s">
        <v>124</v>
      </c>
      <c r="I11" s="59" t="s">
        <v>208</v>
      </c>
      <c r="J11" s="59" t="s">
        <v>125</v>
      </c>
      <c r="K11" s="59" t="s">
        <v>199</v>
      </c>
      <c r="L11" s="59" t="s">
        <v>209</v>
      </c>
      <c r="M11" s="65" t="s">
        <v>202</v>
      </c>
      <c r="N11" s="69" t="s">
        <v>200</v>
      </c>
      <c r="O11" s="69" t="s">
        <v>201</v>
      </c>
    </row>
    <row r="12" spans="2:15" s="39" customFormat="1" ht="35.25" customHeight="1" x14ac:dyDescent="0.25">
      <c r="B12" s="50"/>
      <c r="C12" s="47"/>
      <c r="D12" s="47">
        <v>1</v>
      </c>
      <c r="E12" s="51" t="s">
        <v>12</v>
      </c>
      <c r="F12" s="52" t="s">
        <v>68</v>
      </c>
      <c r="G12" s="51"/>
      <c r="H12" s="51" t="s">
        <v>5</v>
      </c>
      <c r="I12" s="52"/>
      <c r="J12" s="51" t="s">
        <v>13</v>
      </c>
      <c r="K12" s="47"/>
      <c r="L12" s="47"/>
      <c r="M12" s="47"/>
      <c r="N12" s="47">
        <f>+M12*L12</f>
        <v>0</v>
      </c>
      <c r="O12" s="53">
        <f>+K12*L12</f>
        <v>0</v>
      </c>
    </row>
    <row r="13" spans="2:15" s="39" customFormat="1" ht="37.5" customHeight="1" x14ac:dyDescent="0.25">
      <c r="B13" s="54"/>
      <c r="C13" s="48"/>
      <c r="D13" s="48">
        <v>2</v>
      </c>
      <c r="E13" s="55" t="s">
        <v>12</v>
      </c>
      <c r="F13" s="56"/>
      <c r="G13" s="55"/>
      <c r="H13" s="56"/>
      <c r="I13" s="56"/>
      <c r="J13" s="56"/>
      <c r="K13" s="47"/>
      <c r="L13" s="47"/>
      <c r="M13" s="47"/>
      <c r="N13" s="47">
        <f t="shared" ref="N13:N19" si="0">+M13*L13</f>
        <v>0</v>
      </c>
      <c r="O13" s="53">
        <f t="shared" ref="O13:O19" si="1">+K13*L13</f>
        <v>0</v>
      </c>
    </row>
    <row r="14" spans="2:15" s="39" customFormat="1" ht="37.5" customHeight="1" x14ac:dyDescent="0.25">
      <c r="B14"/>
      <c r="C14" s="48"/>
      <c r="D14" s="48">
        <v>3</v>
      </c>
      <c r="E14" s="55"/>
      <c r="F14" s="56"/>
      <c r="G14" s="55"/>
      <c r="H14" s="55"/>
      <c r="I14" s="56"/>
      <c r="J14" s="55"/>
      <c r="K14" s="47"/>
      <c r="L14" s="47"/>
      <c r="M14" s="47"/>
      <c r="N14" s="47">
        <f t="shared" si="0"/>
        <v>0</v>
      </c>
      <c r="O14" s="53">
        <f t="shared" si="1"/>
        <v>0</v>
      </c>
    </row>
    <row r="15" spans="2:15" s="39" customFormat="1" ht="36.75" customHeight="1" x14ac:dyDescent="0.25">
      <c r="B15" s="54"/>
      <c r="C15" s="48"/>
      <c r="D15" s="48">
        <v>4</v>
      </c>
      <c r="E15" s="55"/>
      <c r="F15" s="56"/>
      <c r="G15" s="55"/>
      <c r="H15" s="55"/>
      <c r="I15" s="56"/>
      <c r="J15" s="55"/>
      <c r="K15" s="47"/>
      <c r="L15" s="47"/>
      <c r="M15" s="47"/>
      <c r="N15" s="47">
        <f t="shared" si="0"/>
        <v>0</v>
      </c>
      <c r="O15" s="53">
        <f t="shared" si="1"/>
        <v>0</v>
      </c>
    </row>
    <row r="16" spans="2:15" s="39" customFormat="1" ht="42" customHeight="1" x14ac:dyDescent="0.25">
      <c r="B16" s="54"/>
      <c r="C16" s="48"/>
      <c r="D16" s="48">
        <v>5</v>
      </c>
      <c r="E16" s="55"/>
      <c r="F16" s="56"/>
      <c r="G16" s="55"/>
      <c r="H16" s="55"/>
      <c r="I16" s="56"/>
      <c r="J16" s="55"/>
      <c r="K16" s="47"/>
      <c r="L16" s="47"/>
      <c r="M16" s="47"/>
      <c r="N16" s="47">
        <f t="shared" si="0"/>
        <v>0</v>
      </c>
      <c r="O16" s="53">
        <f t="shared" si="1"/>
        <v>0</v>
      </c>
    </row>
    <row r="17" spans="2:15" s="39" customFormat="1" ht="45.75" customHeight="1" x14ac:dyDescent="0.25">
      <c r="B17" s="54"/>
      <c r="C17" s="48"/>
      <c r="D17" s="48">
        <v>6</v>
      </c>
      <c r="E17" s="55"/>
      <c r="F17" s="56"/>
      <c r="G17" s="55"/>
      <c r="H17" s="55"/>
      <c r="I17" s="56"/>
      <c r="J17" s="55"/>
      <c r="K17" s="47"/>
      <c r="L17" s="47"/>
      <c r="M17" s="47"/>
      <c r="N17" s="47">
        <f t="shared" si="0"/>
        <v>0</v>
      </c>
      <c r="O17" s="53">
        <f t="shared" si="1"/>
        <v>0</v>
      </c>
    </row>
    <row r="18" spans="2:15" s="39" customFormat="1" ht="40.5" customHeight="1" x14ac:dyDescent="0.25">
      <c r="B18" s="54"/>
      <c r="C18" s="48"/>
      <c r="D18" s="48">
        <v>7</v>
      </c>
      <c r="E18" s="55"/>
      <c r="F18" s="56"/>
      <c r="G18" s="55"/>
      <c r="H18" s="55"/>
      <c r="I18" s="56"/>
      <c r="J18" s="55"/>
      <c r="K18" s="47"/>
      <c r="L18" s="47"/>
      <c r="M18" s="47"/>
      <c r="N18" s="47">
        <f t="shared" si="0"/>
        <v>0</v>
      </c>
      <c r="O18" s="53">
        <f t="shared" si="1"/>
        <v>0</v>
      </c>
    </row>
    <row r="19" spans="2:15" s="39" customFormat="1" ht="18.75" x14ac:dyDescent="0.25">
      <c r="B19" s="54"/>
      <c r="C19" s="48"/>
      <c r="D19" s="48">
        <v>8</v>
      </c>
      <c r="E19" s="55"/>
      <c r="F19" s="56"/>
      <c r="G19" s="55"/>
      <c r="H19" s="55"/>
      <c r="I19" s="56"/>
      <c r="J19" s="55"/>
      <c r="K19" s="47"/>
      <c r="L19" s="47"/>
      <c r="M19" s="47"/>
      <c r="N19" s="47">
        <f t="shared" si="0"/>
        <v>0</v>
      </c>
      <c r="O19" s="53">
        <f t="shared" si="1"/>
        <v>0</v>
      </c>
    </row>
    <row r="20" spans="2:15" s="39" customFormat="1" ht="18.75" x14ac:dyDescent="0.25">
      <c r="B20" s="54"/>
      <c r="C20" s="48"/>
      <c r="D20" s="48">
        <v>9</v>
      </c>
      <c r="E20" s="55"/>
      <c r="F20" s="56"/>
      <c r="G20" s="55"/>
      <c r="H20" s="55"/>
      <c r="I20" s="56"/>
      <c r="J20" s="55"/>
      <c r="K20" s="47"/>
      <c r="L20" s="47"/>
      <c r="M20" s="47"/>
      <c r="N20" s="47"/>
      <c r="O20" s="53"/>
    </row>
    <row r="21" spans="2:15" s="39" customFormat="1" ht="18.75" x14ac:dyDescent="0.25">
      <c r="B21" s="54"/>
      <c r="C21" s="48"/>
      <c r="D21" s="48">
        <v>10</v>
      </c>
      <c r="E21" s="55"/>
      <c r="F21" s="56"/>
      <c r="G21" s="55"/>
      <c r="H21" s="55"/>
      <c r="I21" s="56"/>
      <c r="J21" s="55"/>
      <c r="K21" s="47"/>
      <c r="L21" s="47"/>
      <c r="M21" s="47"/>
      <c r="N21" s="47"/>
      <c r="O21" s="53"/>
    </row>
    <row r="22" spans="2:15" s="39" customFormat="1" ht="18.75" x14ac:dyDescent="0.25">
      <c r="B22" s="54"/>
      <c r="C22" s="48"/>
      <c r="D22" s="48">
        <v>11</v>
      </c>
      <c r="E22" s="55"/>
      <c r="F22" s="56"/>
      <c r="G22" s="55"/>
      <c r="H22" s="55"/>
      <c r="I22" s="56"/>
      <c r="J22" s="55"/>
      <c r="K22" s="47"/>
      <c r="L22" s="47"/>
      <c r="M22" s="47"/>
      <c r="N22" s="47"/>
      <c r="O22" s="53"/>
    </row>
    <row r="23" spans="2:15" s="39" customFormat="1" ht="18.75" x14ac:dyDescent="0.25">
      <c r="B23" s="54"/>
      <c r="C23" s="48"/>
      <c r="D23" s="48">
        <v>12</v>
      </c>
      <c r="E23" s="55"/>
      <c r="F23" s="56"/>
      <c r="G23" s="55"/>
      <c r="H23" s="55"/>
      <c r="I23" s="56"/>
      <c r="J23" s="55"/>
      <c r="K23" s="47"/>
      <c r="L23" s="47"/>
      <c r="M23" s="47"/>
      <c r="N23" s="47"/>
      <c r="O23" s="53"/>
    </row>
    <row r="24" spans="2:15" s="39" customFormat="1" ht="18.75" x14ac:dyDescent="0.25">
      <c r="B24" s="54"/>
      <c r="C24" s="48"/>
      <c r="D24" s="48">
        <v>13</v>
      </c>
      <c r="E24" s="55"/>
      <c r="F24" s="56"/>
      <c r="G24" s="55"/>
      <c r="H24" s="55"/>
      <c r="I24" s="56"/>
      <c r="J24" s="55"/>
      <c r="K24" s="47"/>
      <c r="L24" s="47"/>
      <c r="M24" s="47"/>
      <c r="N24" s="47"/>
      <c r="O24" s="53"/>
    </row>
    <row r="25" spans="2:15" s="39" customFormat="1" ht="18.75" x14ac:dyDescent="0.25">
      <c r="B25" s="50" t="s">
        <v>213</v>
      </c>
      <c r="C25" s="48"/>
      <c r="D25" s="48">
        <v>14</v>
      </c>
      <c r="E25" s="55"/>
      <c r="F25" s="56"/>
      <c r="G25" s="55"/>
      <c r="H25" s="55"/>
      <c r="I25" s="56"/>
      <c r="J25" s="55"/>
      <c r="K25" s="47"/>
      <c r="L25" s="47"/>
      <c r="M25" s="47"/>
      <c r="N25" s="47"/>
      <c r="O25" s="53"/>
    </row>
    <row r="26" spans="2:15" s="39" customFormat="1" ht="18.75" x14ac:dyDescent="0.25">
      <c r="B26" s="54" t="s">
        <v>214</v>
      </c>
      <c r="C26" s="48"/>
      <c r="D26" s="48">
        <v>15</v>
      </c>
      <c r="E26" s="55"/>
      <c r="F26" s="56"/>
      <c r="G26" s="55"/>
      <c r="H26" s="55"/>
      <c r="I26" s="56"/>
      <c r="J26" s="55"/>
      <c r="K26" s="47"/>
      <c r="L26" s="47"/>
      <c r="M26" s="47"/>
      <c r="N26" s="47"/>
      <c r="O26" s="53"/>
    </row>
    <row r="27" spans="2:15" s="39" customFormat="1" ht="18.75" x14ac:dyDescent="0.25">
      <c r="B27" t="s">
        <v>215</v>
      </c>
      <c r="C27" s="48"/>
      <c r="D27" s="48">
        <v>16</v>
      </c>
      <c r="E27" s="55"/>
      <c r="F27" s="56"/>
      <c r="G27" s="55"/>
      <c r="H27" s="55"/>
      <c r="I27" s="56"/>
      <c r="J27" s="55"/>
      <c r="K27" s="47"/>
      <c r="L27" s="47"/>
      <c r="M27" s="47"/>
      <c r="N27" s="47"/>
      <c r="O27" s="53"/>
    </row>
    <row r="28" spans="2:15" s="39" customFormat="1" ht="18.75" x14ac:dyDescent="0.25">
      <c r="B28" s="54" t="s">
        <v>216</v>
      </c>
      <c r="C28" s="48"/>
      <c r="D28" s="48">
        <v>17</v>
      </c>
      <c r="E28" s="55"/>
      <c r="F28" s="56"/>
      <c r="G28" s="55"/>
      <c r="H28" s="55"/>
      <c r="I28" s="56"/>
      <c r="J28" s="55"/>
      <c r="K28" s="47"/>
      <c r="L28" s="47"/>
      <c r="M28" s="47"/>
      <c r="N28" s="47"/>
      <c r="O28" s="53"/>
    </row>
    <row r="29" spans="2:15" s="39" customFormat="1" ht="18.75" x14ac:dyDescent="0.25">
      <c r="B29" s="54" t="s">
        <v>217</v>
      </c>
      <c r="C29" s="48"/>
      <c r="D29" s="48">
        <v>18</v>
      </c>
      <c r="E29" s="55"/>
      <c r="F29" s="56"/>
      <c r="G29" s="55"/>
      <c r="H29" s="55"/>
      <c r="I29" s="56"/>
      <c r="J29" s="55"/>
      <c r="K29" s="47"/>
      <c r="L29" s="47"/>
      <c r="M29" s="47"/>
      <c r="N29" s="47"/>
      <c r="O29" s="53"/>
    </row>
    <row r="30" spans="2:15" s="39" customFormat="1" ht="18.75" x14ac:dyDescent="0.25">
      <c r="B30" s="54" t="s">
        <v>218</v>
      </c>
      <c r="C30" s="48"/>
      <c r="D30" s="48">
        <v>19</v>
      </c>
      <c r="E30" s="55"/>
      <c r="F30" s="56"/>
      <c r="G30" s="55"/>
      <c r="H30" s="55"/>
      <c r="I30" s="56"/>
      <c r="J30" s="55"/>
      <c r="K30" s="47"/>
      <c r="L30" s="47"/>
      <c r="M30" s="47"/>
      <c r="N30" s="47"/>
      <c r="O30" s="53"/>
    </row>
    <row r="31" spans="2:15" s="39" customFormat="1" ht="18.75" x14ac:dyDescent="0.25">
      <c r="B31" s="54" t="s">
        <v>219</v>
      </c>
      <c r="C31" s="48"/>
      <c r="D31" s="48">
        <v>20</v>
      </c>
      <c r="E31" s="55"/>
      <c r="F31" s="56"/>
      <c r="G31" s="55"/>
      <c r="H31" s="55"/>
      <c r="I31" s="56"/>
      <c r="J31" s="55"/>
      <c r="K31" s="47"/>
      <c r="L31" s="47"/>
      <c r="M31" s="47"/>
      <c r="N31" s="47"/>
      <c r="O31" s="53"/>
    </row>
    <row r="32" spans="2:15" s="39" customFormat="1" ht="18.75" x14ac:dyDescent="0.25">
      <c r="B32" s="54" t="s">
        <v>220</v>
      </c>
      <c r="C32" s="48"/>
      <c r="D32" s="48">
        <v>21</v>
      </c>
      <c r="E32" s="55"/>
      <c r="F32" s="56"/>
      <c r="G32" s="55"/>
      <c r="H32" s="55"/>
      <c r="I32" s="56"/>
      <c r="J32" s="55"/>
      <c r="K32" s="47"/>
      <c r="L32" s="47"/>
      <c r="M32" s="47"/>
      <c r="N32" s="47"/>
      <c r="O32" s="53"/>
    </row>
    <row r="33" spans="2:15" s="39" customFormat="1" ht="18.75" x14ac:dyDescent="0.25">
      <c r="B33" s="54" t="s">
        <v>221</v>
      </c>
      <c r="C33" s="48"/>
      <c r="D33" s="48">
        <v>22</v>
      </c>
      <c r="E33" s="55"/>
      <c r="F33" s="56"/>
      <c r="G33" s="55"/>
      <c r="H33" s="55"/>
      <c r="I33" s="56"/>
      <c r="J33" s="55"/>
      <c r="K33" s="47"/>
      <c r="L33" s="47"/>
      <c r="M33" s="47"/>
      <c r="N33" s="47"/>
      <c r="O33" s="53"/>
    </row>
    <row r="34" spans="2:15" s="39" customFormat="1" ht="18.75" x14ac:dyDescent="0.25">
      <c r="B34" s="54" t="s">
        <v>222</v>
      </c>
      <c r="C34" s="48"/>
      <c r="D34" s="48">
        <v>23</v>
      </c>
      <c r="E34" s="55"/>
      <c r="F34" s="56"/>
      <c r="G34" s="55"/>
      <c r="H34" s="55"/>
      <c r="I34" s="56"/>
      <c r="J34" s="55"/>
      <c r="K34" s="47"/>
      <c r="L34" s="47"/>
      <c r="M34" s="47"/>
      <c r="N34" s="47"/>
      <c r="O34" s="53"/>
    </row>
    <row r="35" spans="2:15" s="39" customFormat="1" ht="18.75" x14ac:dyDescent="0.25">
      <c r="B35" s="54" t="s">
        <v>223</v>
      </c>
      <c r="C35" s="48"/>
      <c r="D35" s="48">
        <v>24</v>
      </c>
      <c r="E35" s="55"/>
      <c r="F35" s="56"/>
      <c r="G35" s="55"/>
      <c r="H35" s="55"/>
      <c r="I35" s="56"/>
      <c r="J35" s="55"/>
      <c r="K35" s="47"/>
      <c r="L35" s="47"/>
      <c r="M35" s="47"/>
      <c r="N35" s="47"/>
      <c r="O35" s="53"/>
    </row>
    <row r="36" spans="2:15" s="39" customFormat="1" ht="18.75" x14ac:dyDescent="0.25">
      <c r="B36" s="54" t="s">
        <v>224</v>
      </c>
      <c r="C36" s="49"/>
      <c r="D36" s="49">
        <v>25</v>
      </c>
      <c r="E36" s="57"/>
      <c r="F36" s="58"/>
      <c r="G36" s="57"/>
      <c r="H36" s="57"/>
      <c r="I36" s="58"/>
      <c r="J36" s="57"/>
      <c r="K36" s="49"/>
      <c r="L36" s="49"/>
      <c r="M36" s="49"/>
      <c r="N36" s="49"/>
      <c r="O36" s="70"/>
    </row>
    <row r="38" spans="2:15" ht="21" x14ac:dyDescent="0.35">
      <c r="B38" s="71" t="s">
        <v>194</v>
      </c>
      <c r="G38" s="66" t="s">
        <v>198</v>
      </c>
      <c r="K38" s="46">
        <f t="shared" ref="K38" si="2">SUM(K12:K37)</f>
        <v>0</v>
      </c>
      <c r="L38" s="46"/>
      <c r="M38" s="46"/>
      <c r="N38" s="46">
        <f>SUM(N12:N37)</f>
        <v>0</v>
      </c>
      <c r="O38" s="46">
        <f>SUM(O12:O37)</f>
        <v>0</v>
      </c>
    </row>
    <row r="39" spans="2:15" x14ac:dyDescent="0.25">
      <c r="G39" s="38"/>
    </row>
    <row r="40" spans="2:15" x14ac:dyDescent="0.25">
      <c r="G40" s="38"/>
    </row>
    <row r="41" spans="2:15" x14ac:dyDescent="0.25">
      <c r="B41" s="64"/>
      <c r="G41" s="64"/>
    </row>
    <row r="42" spans="2:15" ht="18.75" x14ac:dyDescent="0.3">
      <c r="B42" s="72" t="str">
        <f>+C7</f>
        <v>HERNANDEZ FLORES EDGAR</v>
      </c>
      <c r="G42" s="73" t="s">
        <v>195</v>
      </c>
    </row>
    <row r="43" spans="2:15" ht="18.75" x14ac:dyDescent="0.3">
      <c r="B43" s="67" t="s">
        <v>197</v>
      </c>
      <c r="G43" s="68" t="s">
        <v>196</v>
      </c>
    </row>
  </sheetData>
  <mergeCells count="11">
    <mergeCell ref="C8:F8"/>
    <mergeCell ref="B3:N3"/>
    <mergeCell ref="B1:N1"/>
    <mergeCell ref="B2:N2"/>
    <mergeCell ref="H7:I7"/>
    <mergeCell ref="C7:F7"/>
    <mergeCell ref="H6:I6"/>
    <mergeCell ref="C6:F6"/>
    <mergeCell ref="M7:N7"/>
    <mergeCell ref="M6:N6"/>
    <mergeCell ref="M8:N8"/>
  </mergeCells>
  <dataValidations count="1">
    <dataValidation type="list" allowBlank="1" showInputMessage="1" showErrorMessage="1" sqref="F12:F36">
      <formula1>",VOCABULARIO,GRAMÁTICA: FORMA,GRAMÁTICA: SIGNIFICADO,GRAMÁTICA: USO PRÁCTICO,COMPRENSIÓN AUDITIVA,PRODUCCIÓN ESCRITA,COMPRENSIÓN ESCRITA,PRODUCCIÓN HABLADA"</formula1>
    </dataValidation>
  </dataValidations>
  <pageMargins left="0.23622047244094491" right="0.23622047244094491" top="0.74803149606299213" bottom="0.74803149606299213" header="0.31496062992125984" footer="0.31496062992125984"/>
  <pageSetup scale="4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3">
        <x14:dataValidation type="list" allowBlank="1" showInputMessage="1" showErrorMessage="1">
          <x14:formula1>
            <xm:f>Hoja1!$B$2:$B$3</xm:f>
          </x14:formula1>
          <xm:sqref>E12:E36</xm:sqref>
        </x14:dataValidation>
        <x14:dataValidation type="list" allowBlank="1" showInputMessage="1" showErrorMessage="1">
          <x14:formula1>
            <xm:f>Hoja1!$D$2:$D$5</xm:f>
          </x14:formula1>
          <xm:sqref>G30:G31 G15</xm:sqref>
        </x14:dataValidation>
        <x14:dataValidation type="list" allowBlank="1" showInputMessage="1" showErrorMessage="1">
          <x14:formula1>
            <xm:f>Hoja1!$C$2:$C$9</xm:f>
          </x14:formula1>
          <xm:sqref>H12:H36 J11:J36</xm:sqref>
        </x14:dataValidation>
        <x14:dataValidation type="list" allowBlank="1" showInputMessage="1" showErrorMessage="1">
          <x14:formula1>
            <xm:f>Hoja1!$N$2:$N$5</xm:f>
          </x14:formula1>
          <xm:sqref>C5:C6</xm:sqref>
        </x14:dataValidation>
        <x14:dataValidation type="list" allowBlank="1" showInputMessage="1" showErrorMessage="1">
          <x14:formula1>
            <xm:f>Hoja1!$O$2:$O$12</xm:f>
          </x14:formula1>
          <xm:sqref>C7</xm:sqref>
        </x14:dataValidation>
        <x14:dataValidation type="list" allowBlank="1" showInputMessage="1" showErrorMessage="1">
          <x14:formula1>
            <xm:f>Hoja1!$P$2:$P$7</xm:f>
          </x14:formula1>
          <xm:sqref>H5:H6</xm:sqref>
        </x14:dataValidation>
        <x14:dataValidation type="list" allowBlank="1" showInputMessage="1" showErrorMessage="1">
          <x14:formula1>
            <xm:f>Hoja1!$Q$2:$Q$16</xm:f>
          </x14:formula1>
          <xm:sqref>H7</xm:sqref>
        </x14:dataValidation>
        <x14:dataValidation type="list" allowBlank="1" showInputMessage="1" showErrorMessage="1">
          <x14:formula1>
            <xm:f>Hoja1!$R$2:$R$6</xm:f>
          </x14:formula1>
          <xm:sqref>L6 M7</xm:sqref>
        </x14:dataValidation>
        <x14:dataValidation type="list" allowBlank="1" showInputMessage="1" showErrorMessage="1">
          <x14:formula1>
            <xm:f>Hoja1!$S$2:$S$6</xm:f>
          </x14:formula1>
          <xm:sqref>G4</xm:sqref>
        </x14:dataValidation>
        <x14:dataValidation type="list" allowBlank="1" showInputMessage="1" showErrorMessage="1">
          <x14:formula1>
            <xm:f>Hoja1!$J$2:$J$5</xm:f>
          </x14:formula1>
          <xm:sqref>G32 G16:G21</xm:sqref>
        </x14:dataValidation>
        <x14:dataValidation type="list" allowBlank="1" showInputMessage="1" showErrorMessage="1">
          <x14:formula1>
            <xm:f>Hoja1!$K$2:$K$3</xm:f>
          </x14:formula1>
          <xm:sqref>G33 G28 G36</xm:sqref>
        </x14:dataValidation>
        <x14:dataValidation type="list" allowBlank="1" showInputMessage="1" showErrorMessage="1">
          <x14:formula1>
            <xm:f>Hoja1!$H$2:$H$5</xm:f>
          </x14:formula1>
          <xm:sqref>G34 G22:G23</xm:sqref>
        </x14:dataValidation>
        <x14:dataValidation type="list" allowBlank="1" showInputMessage="1" showErrorMessage="1">
          <x14:formula1>
            <xm:f>Hoja1!$I$2:$I$4</xm:f>
          </x14:formula1>
          <xm:sqref>G35 G26:G27 G12</xm:sqref>
        </x14:dataValidation>
        <x14:dataValidation type="list" allowBlank="1" showInputMessage="1" showErrorMessage="1">
          <x14:formula1>
            <xm:f>Hoja1!$E$2:$E$5</xm:f>
          </x14:formula1>
          <xm:sqref>G24:G25 G29 G13:G14</xm:sqref>
        </x14:dataValidation>
        <x14:dataValidation type="list" allowBlank="1" showInputMessage="1" showErrorMessage="1">
          <x14:formula1>
            <xm:f>Hoja1!$Z$1:$Z$13</xm:f>
          </x14:formula1>
          <xm:sqref>I24:I25 I13:I14</xm:sqref>
        </x14:dataValidation>
        <x14:dataValidation type="list" allowBlank="1" showInputMessage="1" showErrorMessage="1">
          <x14:formula1>
            <xm:f>Hoja1!$X$1:$X$18</xm:f>
          </x14:formula1>
          <xm:sqref>I26:I27 I12</xm:sqref>
        </x14:dataValidation>
        <x14:dataValidation type="list" allowBlank="1" showInputMessage="1" showErrorMessage="1">
          <x14:formula1>
            <xm:f>Hoja1!$V$1:$V$26</xm:f>
          </x14:formula1>
          <xm:sqref>I28</xm:sqref>
        </x14:dataValidation>
        <x14:dataValidation type="list" allowBlank="1" showInputMessage="1" showErrorMessage="1">
          <x14:formula1>
            <xm:f>Hoja1!$W$1:$W$24</xm:f>
          </x14:formula1>
          <xm:sqref>I29 I22:I23</xm:sqref>
        </x14:dataValidation>
        <x14:dataValidation type="list" allowBlank="1" showInputMessage="1" showErrorMessage="1">
          <x14:formula1>
            <xm:f>Hoja1!$M$2:$M$9</xm:f>
          </x14:formula1>
          <xm:sqref>C8</xm:sqref>
        </x14:dataValidation>
        <x14:dataValidation type="list" allowBlank="1" showInputMessage="1" showErrorMessage="1">
          <x14:formula1>
            <xm:f>Hoja1!$L$2:$L$19</xm:f>
          </x14:formula1>
          <xm:sqref>M8</xm:sqref>
        </x14:dataValidation>
        <x14:dataValidation type="list" allowBlank="1" showInputMessage="1" showErrorMessage="1">
          <x14:formula1>
            <xm:f>Hoja1!$U$1:$U$14</xm:f>
          </x14:formula1>
          <xm:sqref>I16:I20</xm:sqref>
        </x14:dataValidation>
        <x14:dataValidation type="list" allowBlank="1" showInputMessage="1" showErrorMessage="1">
          <x14:formula1>
            <xm:f>Hoja1!$U$1:$U$14</xm:f>
          </x14:formula1>
          <xm:sqref>I21</xm:sqref>
        </x14:dataValidation>
        <x14:dataValidation type="list" allowBlank="1" showInputMessage="1" showErrorMessage="1">
          <x14:formula1>
            <xm:f>Hoja1!$Y$1:$Y$13</xm:f>
          </x14:formula1>
          <xm:sqref>I15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C14"/>
  <sheetViews>
    <sheetView workbookViewId="0">
      <selection activeCell="C3" sqref="C3:C14"/>
    </sheetView>
  </sheetViews>
  <sheetFormatPr baseColWidth="10" defaultRowHeight="15" x14ac:dyDescent="0.25"/>
  <cols>
    <col min="3" max="3" width="66.5703125" bestFit="1" customWidth="1"/>
  </cols>
  <sheetData>
    <row r="3" spans="3:3" x14ac:dyDescent="0.25">
      <c r="C3" t="s">
        <v>213</v>
      </c>
    </row>
    <row r="4" spans="3:3" x14ac:dyDescent="0.25">
      <c r="C4" t="s">
        <v>214</v>
      </c>
    </row>
    <row r="5" spans="3:3" x14ac:dyDescent="0.25">
      <c r="C5" t="s">
        <v>215</v>
      </c>
    </row>
    <row r="6" spans="3:3" x14ac:dyDescent="0.25">
      <c r="C6" t="s">
        <v>216</v>
      </c>
    </row>
    <row r="7" spans="3:3" x14ac:dyDescent="0.25">
      <c r="C7" t="s">
        <v>217</v>
      </c>
    </row>
    <row r="8" spans="3:3" x14ac:dyDescent="0.25">
      <c r="C8" t="s">
        <v>218</v>
      </c>
    </row>
    <row r="9" spans="3:3" x14ac:dyDescent="0.25">
      <c r="C9" t="s">
        <v>219</v>
      </c>
    </row>
    <row r="10" spans="3:3" x14ac:dyDescent="0.25">
      <c r="C10" t="s">
        <v>220</v>
      </c>
    </row>
    <row r="11" spans="3:3" x14ac:dyDescent="0.25">
      <c r="C11" t="s">
        <v>221</v>
      </c>
    </row>
    <row r="12" spans="3:3" x14ac:dyDescent="0.25">
      <c r="C12" t="s">
        <v>222</v>
      </c>
    </row>
    <row r="13" spans="3:3" x14ac:dyDescent="0.25">
      <c r="C13" t="s">
        <v>223</v>
      </c>
    </row>
    <row r="14" spans="3:3" x14ac:dyDescent="0.25">
      <c r="C14" t="s">
        <v>224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AG55"/>
  <sheetViews>
    <sheetView zoomScale="55" zoomScaleNormal="55" zoomScaleSheetLayoutView="55" workbookViewId="0">
      <selection activeCell="A9" sqref="A9:XFD57"/>
    </sheetView>
  </sheetViews>
  <sheetFormatPr baseColWidth="10" defaultRowHeight="15" x14ac:dyDescent="0.25"/>
  <cols>
    <col min="1" max="1" width="14.85546875" bestFit="1" customWidth="1"/>
    <col min="2" max="2" width="26.85546875" bestFit="1" customWidth="1"/>
    <col min="3" max="3" width="43.85546875" customWidth="1"/>
    <col min="4" max="4" width="26.5703125" bestFit="1" customWidth="1"/>
    <col min="5" max="11" width="18.42578125" customWidth="1"/>
    <col min="12" max="12" width="27.42578125" bestFit="1" customWidth="1"/>
    <col min="13" max="13" width="28.28515625" bestFit="1" customWidth="1"/>
    <col min="14" max="14" width="10.28515625" bestFit="1" customWidth="1"/>
    <col min="15" max="15" width="8.7109375" bestFit="1" customWidth="1"/>
    <col min="16" max="16" width="16.42578125" bestFit="1" customWidth="1"/>
    <col min="17" max="17" width="18.42578125" bestFit="1" customWidth="1"/>
    <col min="18" max="18" width="12" bestFit="1" customWidth="1"/>
    <col min="19" max="19" width="19.5703125" bestFit="1" customWidth="1"/>
    <col min="20" max="20" width="13.85546875" bestFit="1" customWidth="1"/>
    <col min="21" max="21" width="11.5703125" bestFit="1" customWidth="1"/>
    <col min="22" max="22" width="24" bestFit="1" customWidth="1"/>
  </cols>
  <sheetData>
    <row r="1" spans="2:33" ht="30" x14ac:dyDescent="0.25">
      <c r="B1" s="2" t="s">
        <v>10</v>
      </c>
      <c r="C1" s="2" t="s">
        <v>9</v>
      </c>
      <c r="D1" s="20" t="s">
        <v>59</v>
      </c>
      <c r="E1" s="31" t="s">
        <v>53</v>
      </c>
      <c r="F1" s="31" t="s">
        <v>54</v>
      </c>
      <c r="G1" s="31" t="s">
        <v>55</v>
      </c>
      <c r="H1" s="21" t="s">
        <v>44</v>
      </c>
      <c r="I1" s="21" t="s">
        <v>46</v>
      </c>
      <c r="J1" s="21" t="s">
        <v>45</v>
      </c>
      <c r="K1" s="21" t="s">
        <v>47</v>
      </c>
    </row>
    <row r="2" spans="2:33" ht="51.75" x14ac:dyDescent="0.3">
      <c r="B2" s="22" t="s">
        <v>11</v>
      </c>
      <c r="C2" s="22" t="s">
        <v>4</v>
      </c>
      <c r="D2" s="24" t="s">
        <v>0</v>
      </c>
      <c r="E2" s="27" t="s">
        <v>0</v>
      </c>
      <c r="F2" s="27" t="s">
        <v>0</v>
      </c>
      <c r="G2" s="27" t="s">
        <v>0</v>
      </c>
      <c r="H2" s="27" t="s">
        <v>31</v>
      </c>
      <c r="I2" s="30" t="s">
        <v>48</v>
      </c>
      <c r="J2" s="27" t="s">
        <v>35</v>
      </c>
      <c r="K2" s="28" t="s">
        <v>36</v>
      </c>
    </row>
    <row r="3" spans="2:33" ht="51.75" x14ac:dyDescent="0.3">
      <c r="B3" s="22" t="s">
        <v>12</v>
      </c>
      <c r="C3" s="22" t="s">
        <v>5</v>
      </c>
      <c r="D3" s="24" t="s">
        <v>2</v>
      </c>
      <c r="E3" s="27" t="s">
        <v>58</v>
      </c>
      <c r="F3" s="27" t="s">
        <v>58</v>
      </c>
      <c r="G3" s="27" t="s">
        <v>58</v>
      </c>
      <c r="H3" s="29" t="s">
        <v>34</v>
      </c>
      <c r="I3" s="27" t="s">
        <v>49</v>
      </c>
      <c r="J3" s="27" t="s">
        <v>34</v>
      </c>
      <c r="K3" s="28" t="s">
        <v>37</v>
      </c>
    </row>
    <row r="4" spans="2:33" ht="51.75" x14ac:dyDescent="0.3">
      <c r="B4" s="23"/>
      <c r="C4" s="22" t="s">
        <v>13</v>
      </c>
      <c r="D4" s="24" t="s">
        <v>1</v>
      </c>
      <c r="E4" s="28" t="s">
        <v>56</v>
      </c>
      <c r="F4" s="28" t="s">
        <v>56</v>
      </c>
      <c r="G4" s="28" t="s">
        <v>56</v>
      </c>
      <c r="H4" s="29" t="s">
        <v>32</v>
      </c>
      <c r="I4" s="27" t="s">
        <v>50</v>
      </c>
      <c r="J4" s="27" t="s">
        <v>32</v>
      </c>
      <c r="K4" s="25"/>
    </row>
    <row r="5" spans="2:33" ht="69" x14ac:dyDescent="0.3">
      <c r="B5" s="23"/>
      <c r="C5" s="22" t="s">
        <v>6</v>
      </c>
      <c r="D5" s="24" t="s">
        <v>3</v>
      </c>
      <c r="E5" s="27" t="s">
        <v>57</v>
      </c>
      <c r="F5" s="27" t="s">
        <v>57</v>
      </c>
      <c r="G5" s="27" t="s">
        <v>57</v>
      </c>
      <c r="H5" s="29" t="s">
        <v>33</v>
      </c>
      <c r="I5" s="25"/>
      <c r="J5" s="27" t="s">
        <v>33</v>
      </c>
      <c r="K5" s="25"/>
    </row>
    <row r="6" spans="2:33" ht="17.25" x14ac:dyDescent="0.3">
      <c r="B6" s="23"/>
      <c r="C6" s="22" t="s">
        <v>14</v>
      </c>
      <c r="D6" s="25"/>
      <c r="H6" s="25"/>
      <c r="I6" s="25"/>
      <c r="J6" s="25"/>
      <c r="K6" s="25"/>
    </row>
    <row r="7" spans="2:33" x14ac:dyDescent="0.25">
      <c r="B7" s="23"/>
      <c r="C7" s="22" t="s">
        <v>7</v>
      </c>
      <c r="D7" s="26"/>
      <c r="E7" s="26"/>
      <c r="F7" s="26"/>
      <c r="G7" s="26"/>
      <c r="H7" s="26"/>
      <c r="I7" s="26"/>
      <c r="J7" s="26"/>
      <c r="K7" s="26"/>
    </row>
    <row r="8" spans="2:33" x14ac:dyDescent="0.25">
      <c r="B8" s="23"/>
      <c r="C8" s="22" t="s">
        <v>8</v>
      </c>
      <c r="D8" s="26"/>
      <c r="E8" s="26"/>
      <c r="F8" s="26"/>
      <c r="G8" s="26"/>
      <c r="H8" s="26"/>
      <c r="I8" s="26"/>
      <c r="J8" s="26"/>
      <c r="K8" s="26"/>
    </row>
    <row r="9" spans="2:33" ht="15" customHeight="1" x14ac:dyDescent="0.25">
      <c r="B9" s="22" t="s">
        <v>12</v>
      </c>
      <c r="C9" s="23"/>
      <c r="D9" s="23"/>
      <c r="E9" s="23"/>
      <c r="F9" s="23"/>
      <c r="G9" s="23"/>
    </row>
    <row r="10" spans="2:33" x14ac:dyDescent="0.25">
      <c r="B10" s="22" t="s">
        <v>5</v>
      </c>
      <c r="C10" s="22" t="s">
        <v>13</v>
      </c>
      <c r="D10" s="22" t="s">
        <v>6</v>
      </c>
      <c r="E10" s="22" t="s">
        <v>14</v>
      </c>
      <c r="F10" s="22" t="s">
        <v>7</v>
      </c>
      <c r="G10" s="22" t="s">
        <v>8</v>
      </c>
    </row>
    <row r="11" spans="2:33" ht="17.25" x14ac:dyDescent="0.3">
      <c r="B11" s="24" t="s">
        <v>2</v>
      </c>
      <c r="C11" s="24" t="s">
        <v>1</v>
      </c>
      <c r="D11" s="24" t="s">
        <v>3</v>
      </c>
      <c r="E11" s="25"/>
      <c r="F11" s="26"/>
      <c r="G11" s="26"/>
    </row>
    <row r="12" spans="2:33" ht="35.25" customHeight="1" thickBot="1" x14ac:dyDescent="0.35">
      <c r="B12" s="27" t="s">
        <v>58</v>
      </c>
      <c r="C12" s="28" t="s">
        <v>56</v>
      </c>
      <c r="D12" s="27" t="s">
        <v>57</v>
      </c>
      <c r="F12" s="26"/>
      <c r="G12" s="26"/>
      <c r="AE12" s="14" t="s">
        <v>19</v>
      </c>
      <c r="AF12" s="14" t="s">
        <v>20</v>
      </c>
      <c r="AG12" s="14" t="s">
        <v>29</v>
      </c>
    </row>
    <row r="13" spans="2:33" ht="34.5" x14ac:dyDescent="0.3">
      <c r="B13" s="27" t="s">
        <v>58</v>
      </c>
      <c r="C13" s="28" t="s">
        <v>56</v>
      </c>
      <c r="D13" s="27" t="s">
        <v>57</v>
      </c>
      <c r="F13" s="26"/>
      <c r="G13" s="26"/>
      <c r="AD13" s="7" t="s">
        <v>15</v>
      </c>
      <c r="AE13" s="8" t="s">
        <v>23</v>
      </c>
      <c r="AF13" s="8" t="s">
        <v>25</v>
      </c>
      <c r="AG13" s="90" t="s">
        <v>30</v>
      </c>
    </row>
    <row r="14" spans="2:33" ht="34.5" x14ac:dyDescent="0.3">
      <c r="B14" s="27" t="s">
        <v>58</v>
      </c>
      <c r="C14" s="28" t="s">
        <v>56</v>
      </c>
      <c r="D14" s="27" t="s">
        <v>57</v>
      </c>
      <c r="F14" s="26"/>
      <c r="G14" s="26"/>
      <c r="AD14" s="9" t="s">
        <v>16</v>
      </c>
      <c r="AE14" s="4" t="s">
        <v>21</v>
      </c>
      <c r="AF14" s="5" t="s">
        <v>26</v>
      </c>
      <c r="AG14" s="91"/>
    </row>
    <row r="15" spans="2:33" ht="51.75" x14ac:dyDescent="0.3">
      <c r="B15" s="29" t="s">
        <v>34</v>
      </c>
      <c r="C15" s="29" t="s">
        <v>32</v>
      </c>
      <c r="D15" s="29" t="s">
        <v>33</v>
      </c>
      <c r="E15" s="25"/>
      <c r="F15" s="26"/>
      <c r="G15" s="26"/>
      <c r="AD15" s="10" t="s">
        <v>17</v>
      </c>
      <c r="AE15" s="5" t="s">
        <v>24</v>
      </c>
      <c r="AF15" s="5" t="s">
        <v>27</v>
      </c>
      <c r="AG15" s="91"/>
    </row>
    <row r="16" spans="2:33" ht="35.25" thickBot="1" x14ac:dyDescent="0.35">
      <c r="B16" s="27" t="s">
        <v>49</v>
      </c>
      <c r="C16" s="27" t="s">
        <v>50</v>
      </c>
      <c r="D16" s="25"/>
      <c r="E16" s="25"/>
      <c r="F16" s="26"/>
      <c r="G16" s="26"/>
      <c r="AD16" s="11" t="s">
        <v>18</v>
      </c>
      <c r="AE16" s="12" t="s">
        <v>22</v>
      </c>
      <c r="AF16" s="13" t="s">
        <v>28</v>
      </c>
      <c r="AG16" s="92"/>
    </row>
    <row r="17" spans="2:7" ht="51.75" x14ac:dyDescent="0.3">
      <c r="B17" s="27" t="s">
        <v>34</v>
      </c>
      <c r="C17" s="27" t="s">
        <v>32</v>
      </c>
      <c r="D17" s="27" t="s">
        <v>33</v>
      </c>
      <c r="E17" s="25"/>
      <c r="F17" s="26"/>
      <c r="G17" s="26"/>
    </row>
    <row r="18" spans="2:7" ht="34.5" x14ac:dyDescent="0.3">
      <c r="B18" s="28" t="s">
        <v>37</v>
      </c>
      <c r="C18" s="25"/>
      <c r="D18" s="25"/>
      <c r="E18" s="25"/>
      <c r="F18" s="26"/>
      <c r="G18" s="26"/>
    </row>
    <row r="19" spans="2:7" ht="17.25" x14ac:dyDescent="0.3">
      <c r="D19" s="16"/>
      <c r="E19" s="16"/>
    </row>
    <row r="20" spans="2:7" ht="17.25" x14ac:dyDescent="0.3">
      <c r="D20" s="16"/>
      <c r="E20" s="16"/>
    </row>
    <row r="21" spans="2:7" ht="17.25" x14ac:dyDescent="0.3">
      <c r="B21" s="24" t="s">
        <v>2</v>
      </c>
      <c r="C21" s="24" t="s">
        <v>1</v>
      </c>
      <c r="D21" s="24" t="s">
        <v>3</v>
      </c>
      <c r="E21" s="16"/>
    </row>
    <row r="22" spans="2:7" ht="34.5" x14ac:dyDescent="0.3">
      <c r="B22" s="27" t="s">
        <v>58</v>
      </c>
      <c r="C22" s="28" t="s">
        <v>56</v>
      </c>
      <c r="D22" s="27" t="s">
        <v>57</v>
      </c>
      <c r="E22" s="16"/>
    </row>
    <row r="23" spans="2:7" ht="34.5" x14ac:dyDescent="0.3">
      <c r="B23" s="27" t="s">
        <v>58</v>
      </c>
      <c r="C23" s="28" t="s">
        <v>56</v>
      </c>
      <c r="D23" s="27" t="s">
        <v>57</v>
      </c>
      <c r="E23" s="16"/>
    </row>
    <row r="24" spans="2:7" ht="34.5" x14ac:dyDescent="0.3">
      <c r="B24" s="27" t="s">
        <v>58</v>
      </c>
      <c r="C24" s="28" t="s">
        <v>56</v>
      </c>
      <c r="D24" s="27" t="s">
        <v>57</v>
      </c>
      <c r="E24" s="16"/>
    </row>
    <row r="25" spans="2:7" ht="51.75" x14ac:dyDescent="0.3">
      <c r="B25" s="29" t="s">
        <v>34</v>
      </c>
      <c r="C25" s="29" t="s">
        <v>32</v>
      </c>
      <c r="D25" s="29" t="s">
        <v>33</v>
      </c>
      <c r="E25" s="16"/>
    </row>
    <row r="26" spans="2:7" ht="34.5" x14ac:dyDescent="0.3">
      <c r="B26" s="27" t="s">
        <v>49</v>
      </c>
      <c r="C26" s="27" t="s">
        <v>50</v>
      </c>
      <c r="D26" s="25"/>
      <c r="E26" s="16"/>
    </row>
    <row r="27" spans="2:7" ht="51.75" x14ac:dyDescent="0.3">
      <c r="B27" s="27" t="s">
        <v>34</v>
      </c>
      <c r="C27" s="27" t="s">
        <v>32</v>
      </c>
      <c r="D27" s="27" t="s">
        <v>33</v>
      </c>
      <c r="E27" s="16"/>
    </row>
    <row r="28" spans="2:7" ht="34.5" x14ac:dyDescent="0.3">
      <c r="B28" s="28" t="s">
        <v>37</v>
      </c>
      <c r="C28" s="25"/>
      <c r="D28" s="25"/>
      <c r="E28" s="16"/>
    </row>
    <row r="29" spans="2:7" ht="17.25" x14ac:dyDescent="0.3">
      <c r="D29" s="16"/>
      <c r="E29" s="16"/>
    </row>
    <row r="30" spans="2:7" ht="17.25" x14ac:dyDescent="0.3">
      <c r="D30" s="16"/>
      <c r="E30" s="16"/>
    </row>
    <row r="31" spans="2:7" ht="17.25" x14ac:dyDescent="0.3">
      <c r="D31" s="16"/>
      <c r="E31" s="16"/>
    </row>
    <row r="32" spans="2:7" ht="17.25" x14ac:dyDescent="0.3">
      <c r="D32" s="16"/>
      <c r="E32" s="16"/>
    </row>
    <row r="33" spans="2:7" ht="17.25" x14ac:dyDescent="0.3">
      <c r="D33" s="16"/>
      <c r="E33" s="16"/>
    </row>
    <row r="46" spans="2:7" ht="15" customHeight="1" x14ac:dyDescent="0.25">
      <c r="B46" s="6" t="s">
        <v>12</v>
      </c>
      <c r="C46" s="1"/>
      <c r="D46" s="1"/>
      <c r="E46" s="1"/>
      <c r="F46" s="1"/>
      <c r="G46" s="1"/>
    </row>
    <row r="47" spans="2:7" x14ac:dyDescent="0.25">
      <c r="B47" s="6" t="s">
        <v>5</v>
      </c>
      <c r="C47" s="6" t="s">
        <v>13</v>
      </c>
      <c r="D47" s="6" t="s">
        <v>6</v>
      </c>
      <c r="E47" s="6" t="s">
        <v>14</v>
      </c>
      <c r="F47" s="6" t="s">
        <v>7</v>
      </c>
      <c r="G47" s="6" t="s">
        <v>8</v>
      </c>
    </row>
    <row r="48" spans="2:7" ht="17.25" x14ac:dyDescent="0.3">
      <c r="B48" s="15" t="s">
        <v>2</v>
      </c>
      <c r="C48" s="15" t="s">
        <v>1</v>
      </c>
      <c r="D48" s="15" t="s">
        <v>3</v>
      </c>
      <c r="E48" s="16"/>
    </row>
    <row r="49" spans="2:5" ht="34.5" customHeight="1" x14ac:dyDescent="0.3">
      <c r="B49" s="17" t="s">
        <v>41</v>
      </c>
      <c r="C49" s="17" t="s">
        <v>38</v>
      </c>
      <c r="D49" s="18" t="s">
        <v>39</v>
      </c>
      <c r="E49" s="17" t="s">
        <v>40</v>
      </c>
    </row>
    <row r="50" spans="2:5" ht="34.5" x14ac:dyDescent="0.3">
      <c r="B50" s="17" t="s">
        <v>41</v>
      </c>
      <c r="C50" s="17" t="s">
        <v>38</v>
      </c>
      <c r="D50" s="18" t="s">
        <v>39</v>
      </c>
      <c r="E50" s="17" t="s">
        <v>40</v>
      </c>
    </row>
    <row r="51" spans="2:5" ht="34.5" x14ac:dyDescent="0.3">
      <c r="B51" s="17" t="s">
        <v>41</v>
      </c>
      <c r="C51" s="17" t="s">
        <v>38</v>
      </c>
      <c r="D51" s="18" t="s">
        <v>39</v>
      </c>
      <c r="E51" s="17" t="s">
        <v>40</v>
      </c>
    </row>
    <row r="52" spans="2:5" ht="51.75" x14ac:dyDescent="0.3">
      <c r="B52" s="19" t="s">
        <v>34</v>
      </c>
      <c r="C52" s="19" t="s">
        <v>32</v>
      </c>
      <c r="D52" s="19" t="s">
        <v>33</v>
      </c>
      <c r="E52" s="16"/>
    </row>
    <row r="53" spans="2:5" ht="34.5" x14ac:dyDescent="0.3">
      <c r="B53" s="17" t="s">
        <v>42</v>
      </c>
      <c r="C53" s="17" t="s">
        <v>43</v>
      </c>
      <c r="D53" s="16"/>
      <c r="E53" s="16"/>
    </row>
    <row r="54" spans="2:5" ht="51.75" x14ac:dyDescent="0.3">
      <c r="B54" s="17" t="s">
        <v>34</v>
      </c>
      <c r="C54" s="17" t="s">
        <v>32</v>
      </c>
      <c r="D54" s="17" t="s">
        <v>33</v>
      </c>
      <c r="E54" s="16"/>
    </row>
    <row r="55" spans="2:5" ht="34.5" x14ac:dyDescent="0.3">
      <c r="B55" s="18" t="s">
        <v>37</v>
      </c>
      <c r="C55" s="16"/>
      <c r="D55" s="16"/>
      <c r="E55" s="16"/>
    </row>
  </sheetData>
  <mergeCells count="1">
    <mergeCell ref="AG13:AG16"/>
  </mergeCells>
  <dataValidations count="2">
    <dataValidation type="list" allowBlank="1" showInputMessage="1" showErrorMessage="1" sqref="C2:K2 B9:B28 B3:K3">
      <formula1>#REF!</formula1>
    </dataValidation>
    <dataValidation type="list" allowBlank="1" showInputMessage="1" showErrorMessage="1" sqref="C1:K1 B2">
      <formula1>$B$9:$B$9</formula1>
    </dataValidation>
  </dataValidations>
  <pageMargins left="0.70866141732283472" right="0.70866141732283472" top="0.74803149606299213" bottom="0.74803149606299213" header="0.31496062992125984" footer="0.31496062992125984"/>
  <pageSetup scale="60" orientation="landscape" r:id="rId1"/>
  <colBreaks count="2" manualBreakCount="2">
    <brk id="7" max="20" man="1"/>
    <brk id="10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Hoja1</vt:lpstr>
      <vt:lpstr>Tabla de Especificación Inglés</vt:lpstr>
      <vt:lpstr>Hoja2</vt:lpstr>
      <vt:lpstr>Hoja1 (2)</vt:lpstr>
      <vt:lpstr>Hoja1!Área_de_impresión</vt:lpstr>
      <vt:lpstr>'Hoja1 (2)'!Área_de_impresión</vt:lpstr>
      <vt:lpstr>'Tabla de Especificación Inglés'!Área_de_impresión</vt:lpstr>
      <vt:lpstr>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HERNÁNDEZ FLORES</dc:creator>
  <cp:lastModifiedBy>EDGAR HERNÁNDEZ FLORES</cp:lastModifiedBy>
  <cp:lastPrinted>2016-09-14T18:52:19Z</cp:lastPrinted>
  <dcterms:created xsi:type="dcterms:W3CDTF">2015-02-26T21:17:54Z</dcterms:created>
  <dcterms:modified xsi:type="dcterms:W3CDTF">2019-09-18T23:34:56Z</dcterms:modified>
</cp:coreProperties>
</file>